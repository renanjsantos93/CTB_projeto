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neva-my.sharepoint.com/personal/renan_jesus_eneva_com_br/Documents/Área de Trabalho/MASTER/"/>
    </mc:Choice>
  </mc:AlternateContent>
  <xr:revisionPtr revIDLastSave="11" documentId="13_ncr:1_{A23979F1-03FE-4AF6-A509-4B0C8C1A6CC3}" xr6:coauthVersionLast="47" xr6:coauthVersionMax="47" xr10:uidLastSave="{7B34546E-17C8-483D-8E58-5928E960DBE6}"/>
  <bookViews>
    <workbookView xWindow="-110" yWindow="-110" windowWidth="19420" windowHeight="10300" firstSheet="4" activeTab="5" xr2:uid="{C97723A6-ECE5-4DC1-A834-8D5474752395}"/>
  </bookViews>
  <sheets>
    <sheet name="Cronograma" sheetId="4" state="hidden" r:id="rId1"/>
    <sheet name="Histograma" sheetId="3" state="hidden" r:id="rId2"/>
    <sheet name="Analise de Lote" sheetId="2" state="hidden" r:id="rId3"/>
    <sheet name="SEQ. DE ENTREGA POR LINHA" sheetId="1" state="hidden" r:id="rId4"/>
    <sheet name="Crono Furui" sheetId="6" r:id="rId5"/>
    <sheet name="Analise Cronograma TUB" sheetId="5" r:id="rId6"/>
    <sheet name="Planilha1" sheetId="7" r:id="rId7"/>
  </sheets>
  <definedNames>
    <definedName name="_xlnm._FilterDatabase" localSheetId="5" hidden="1">'Analise Cronograma TUB'!$A$8:$U$186</definedName>
    <definedName name="_xlnm._FilterDatabase" localSheetId="4" hidden="1">'Crono Furui'!$A$1:$G$189</definedName>
    <definedName name="_xlnm._FilterDatabase" localSheetId="3" hidden="1">'SEQ. DE ENTREGA POR LINHA'!$A$1:$H$179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5" l="1"/>
  <c r="R2" i="5"/>
  <c r="S2" i="5" s="1"/>
  <c r="R5" i="5"/>
  <c r="M9" i="5"/>
  <c r="M185" i="5"/>
  <c r="L185" i="5"/>
  <c r="O185" i="5" s="1"/>
  <c r="M184" i="5"/>
  <c r="L184" i="5"/>
  <c r="O184" i="5" s="1"/>
  <c r="M183" i="5"/>
  <c r="L183" i="5"/>
  <c r="O183" i="5" s="1"/>
  <c r="M182" i="5"/>
  <c r="L182" i="5"/>
  <c r="O182" i="5" s="1"/>
  <c r="M181" i="5"/>
  <c r="L181" i="5"/>
  <c r="O181" i="5" s="1"/>
  <c r="M180" i="5"/>
  <c r="L180" i="5"/>
  <c r="O180" i="5" s="1"/>
  <c r="M179" i="5"/>
  <c r="L179" i="5"/>
  <c r="O179" i="5" s="1"/>
  <c r="M178" i="5"/>
  <c r="L178" i="5"/>
  <c r="O178" i="5" s="1"/>
  <c r="M177" i="5"/>
  <c r="L177" i="5"/>
  <c r="O177" i="5" s="1"/>
  <c r="M176" i="5"/>
  <c r="L176" i="5"/>
  <c r="O176" i="5" s="1"/>
  <c r="M175" i="5"/>
  <c r="L175" i="5"/>
  <c r="O175" i="5" s="1"/>
  <c r="M174" i="5"/>
  <c r="L174" i="5"/>
  <c r="O174" i="5" s="1"/>
  <c r="M173" i="5"/>
  <c r="L173" i="5"/>
  <c r="O173" i="5" s="1"/>
  <c r="M172" i="5"/>
  <c r="L172" i="5"/>
  <c r="O172" i="5" s="1"/>
  <c r="M171" i="5"/>
  <c r="L171" i="5"/>
  <c r="O171" i="5" s="1"/>
  <c r="M170" i="5"/>
  <c r="L170" i="5"/>
  <c r="O170" i="5" s="1"/>
  <c r="M169" i="5"/>
  <c r="L169" i="5"/>
  <c r="O169" i="5" s="1"/>
  <c r="M168" i="5"/>
  <c r="L168" i="5"/>
  <c r="O168" i="5" s="1"/>
  <c r="M167" i="5"/>
  <c r="L167" i="5"/>
  <c r="O167" i="5" s="1"/>
  <c r="M166" i="5"/>
  <c r="L166" i="5"/>
  <c r="O166" i="5" s="1"/>
  <c r="M165" i="5"/>
  <c r="L165" i="5"/>
  <c r="O165" i="5" s="1"/>
  <c r="M164" i="5"/>
  <c r="L164" i="5"/>
  <c r="O164" i="5" s="1"/>
  <c r="M163" i="5"/>
  <c r="L163" i="5"/>
  <c r="O163" i="5" s="1"/>
  <c r="M162" i="5"/>
  <c r="L162" i="5"/>
  <c r="O162" i="5" s="1"/>
  <c r="M161" i="5"/>
  <c r="L161" i="5"/>
  <c r="O161" i="5" s="1"/>
  <c r="M160" i="5"/>
  <c r="L160" i="5"/>
  <c r="O160" i="5" s="1"/>
  <c r="M159" i="5"/>
  <c r="L159" i="5"/>
  <c r="O159" i="5" s="1"/>
  <c r="M158" i="5"/>
  <c r="L158" i="5"/>
  <c r="O158" i="5" s="1"/>
  <c r="M157" i="5"/>
  <c r="L157" i="5"/>
  <c r="O157" i="5" s="1"/>
  <c r="M156" i="5"/>
  <c r="L156" i="5"/>
  <c r="O156" i="5" s="1"/>
  <c r="M155" i="5"/>
  <c r="L155" i="5"/>
  <c r="O155" i="5" s="1"/>
  <c r="M154" i="5"/>
  <c r="L154" i="5"/>
  <c r="O154" i="5" s="1"/>
  <c r="M153" i="5"/>
  <c r="L153" i="5"/>
  <c r="O153" i="5" s="1"/>
  <c r="M152" i="5"/>
  <c r="L152" i="5"/>
  <c r="O152" i="5" s="1"/>
  <c r="M151" i="5"/>
  <c r="L151" i="5"/>
  <c r="O151" i="5" s="1"/>
  <c r="M150" i="5"/>
  <c r="L150" i="5"/>
  <c r="O150" i="5" s="1"/>
  <c r="M149" i="5"/>
  <c r="L149" i="5"/>
  <c r="O149" i="5" s="1"/>
  <c r="M148" i="5"/>
  <c r="L148" i="5"/>
  <c r="O148" i="5" s="1"/>
  <c r="M147" i="5"/>
  <c r="L147" i="5"/>
  <c r="O147" i="5" s="1"/>
  <c r="M146" i="5"/>
  <c r="L146" i="5"/>
  <c r="O146" i="5" s="1"/>
  <c r="M145" i="5"/>
  <c r="L145" i="5"/>
  <c r="O145" i="5" s="1"/>
  <c r="M144" i="5"/>
  <c r="L144" i="5"/>
  <c r="O144" i="5" s="1"/>
  <c r="M143" i="5"/>
  <c r="L143" i="5"/>
  <c r="O143" i="5" s="1"/>
  <c r="M142" i="5"/>
  <c r="L142" i="5"/>
  <c r="O142" i="5" s="1"/>
  <c r="M141" i="5"/>
  <c r="L141" i="5"/>
  <c r="O141" i="5" s="1"/>
  <c r="M140" i="5"/>
  <c r="L140" i="5"/>
  <c r="O140" i="5" s="1"/>
  <c r="M139" i="5"/>
  <c r="L139" i="5"/>
  <c r="O139" i="5" s="1"/>
  <c r="M138" i="5"/>
  <c r="L138" i="5"/>
  <c r="O138" i="5" s="1"/>
  <c r="M137" i="5"/>
  <c r="L137" i="5"/>
  <c r="O137" i="5" s="1"/>
  <c r="M136" i="5"/>
  <c r="L136" i="5"/>
  <c r="O136" i="5" s="1"/>
  <c r="M135" i="5"/>
  <c r="L135" i="5"/>
  <c r="O135" i="5" s="1"/>
  <c r="M134" i="5"/>
  <c r="L134" i="5"/>
  <c r="O134" i="5" s="1"/>
  <c r="M133" i="5"/>
  <c r="L133" i="5"/>
  <c r="O133" i="5" s="1"/>
  <c r="M132" i="5"/>
  <c r="L132" i="5"/>
  <c r="O132" i="5" s="1"/>
  <c r="M131" i="5"/>
  <c r="L131" i="5"/>
  <c r="O131" i="5" s="1"/>
  <c r="M130" i="5"/>
  <c r="L130" i="5"/>
  <c r="O130" i="5" s="1"/>
  <c r="M129" i="5"/>
  <c r="L129" i="5"/>
  <c r="O129" i="5" s="1"/>
  <c r="M128" i="5"/>
  <c r="L128" i="5"/>
  <c r="O128" i="5" s="1"/>
  <c r="M127" i="5"/>
  <c r="L127" i="5"/>
  <c r="O127" i="5" s="1"/>
  <c r="M126" i="5"/>
  <c r="L126" i="5"/>
  <c r="O126" i="5" s="1"/>
  <c r="M125" i="5"/>
  <c r="L125" i="5"/>
  <c r="O125" i="5" s="1"/>
  <c r="M124" i="5"/>
  <c r="L124" i="5"/>
  <c r="O124" i="5" s="1"/>
  <c r="M123" i="5"/>
  <c r="L123" i="5"/>
  <c r="O123" i="5" s="1"/>
  <c r="M122" i="5"/>
  <c r="L122" i="5"/>
  <c r="O122" i="5" s="1"/>
  <c r="M121" i="5"/>
  <c r="L121" i="5"/>
  <c r="O121" i="5" s="1"/>
  <c r="M120" i="5"/>
  <c r="L120" i="5"/>
  <c r="O120" i="5" s="1"/>
  <c r="M119" i="5"/>
  <c r="L119" i="5"/>
  <c r="O119" i="5" s="1"/>
  <c r="M118" i="5"/>
  <c r="L118" i="5"/>
  <c r="O118" i="5" s="1"/>
  <c r="M117" i="5"/>
  <c r="L117" i="5"/>
  <c r="O117" i="5" s="1"/>
  <c r="M116" i="5"/>
  <c r="L116" i="5"/>
  <c r="O116" i="5" s="1"/>
  <c r="M115" i="5"/>
  <c r="L115" i="5"/>
  <c r="O115" i="5" s="1"/>
  <c r="M114" i="5"/>
  <c r="L114" i="5"/>
  <c r="O114" i="5" s="1"/>
  <c r="M113" i="5"/>
  <c r="L113" i="5"/>
  <c r="O113" i="5" s="1"/>
  <c r="M112" i="5"/>
  <c r="L112" i="5"/>
  <c r="O112" i="5" s="1"/>
  <c r="M111" i="5"/>
  <c r="L111" i="5"/>
  <c r="O111" i="5" s="1"/>
  <c r="M110" i="5"/>
  <c r="L110" i="5"/>
  <c r="O110" i="5" s="1"/>
  <c r="M109" i="5"/>
  <c r="L109" i="5"/>
  <c r="O109" i="5" s="1"/>
  <c r="M108" i="5"/>
  <c r="L108" i="5"/>
  <c r="O108" i="5" s="1"/>
  <c r="M107" i="5"/>
  <c r="L107" i="5"/>
  <c r="O107" i="5" s="1"/>
  <c r="M106" i="5"/>
  <c r="L106" i="5"/>
  <c r="O106" i="5" s="1"/>
  <c r="M105" i="5"/>
  <c r="L105" i="5"/>
  <c r="O105" i="5" s="1"/>
  <c r="M104" i="5"/>
  <c r="L104" i="5"/>
  <c r="O104" i="5" s="1"/>
  <c r="M103" i="5"/>
  <c r="L103" i="5"/>
  <c r="O103" i="5" s="1"/>
  <c r="M102" i="5"/>
  <c r="L102" i="5"/>
  <c r="O102" i="5" s="1"/>
  <c r="M101" i="5"/>
  <c r="L101" i="5"/>
  <c r="O101" i="5" s="1"/>
  <c r="M100" i="5"/>
  <c r="L100" i="5"/>
  <c r="O100" i="5" s="1"/>
  <c r="M99" i="5"/>
  <c r="L99" i="5"/>
  <c r="O99" i="5" s="1"/>
  <c r="M98" i="5"/>
  <c r="L98" i="5"/>
  <c r="O98" i="5" s="1"/>
  <c r="M97" i="5"/>
  <c r="L97" i="5"/>
  <c r="O97" i="5" s="1"/>
  <c r="M96" i="5"/>
  <c r="L96" i="5"/>
  <c r="O96" i="5" s="1"/>
  <c r="M95" i="5"/>
  <c r="L95" i="5"/>
  <c r="O95" i="5" s="1"/>
  <c r="M94" i="5"/>
  <c r="L94" i="5"/>
  <c r="O94" i="5" s="1"/>
  <c r="M93" i="5"/>
  <c r="L93" i="5"/>
  <c r="O93" i="5" s="1"/>
  <c r="M92" i="5"/>
  <c r="L92" i="5"/>
  <c r="O92" i="5" s="1"/>
  <c r="M91" i="5"/>
  <c r="L91" i="5"/>
  <c r="O91" i="5" s="1"/>
  <c r="M90" i="5"/>
  <c r="L90" i="5"/>
  <c r="O90" i="5" s="1"/>
  <c r="M89" i="5"/>
  <c r="L89" i="5"/>
  <c r="O89" i="5" s="1"/>
  <c r="M88" i="5"/>
  <c r="L88" i="5"/>
  <c r="O88" i="5" s="1"/>
  <c r="M87" i="5"/>
  <c r="L87" i="5"/>
  <c r="O87" i="5" s="1"/>
  <c r="M86" i="5"/>
  <c r="L86" i="5"/>
  <c r="O86" i="5" s="1"/>
  <c r="M85" i="5"/>
  <c r="L85" i="5"/>
  <c r="O85" i="5" s="1"/>
  <c r="M84" i="5"/>
  <c r="L84" i="5"/>
  <c r="O84" i="5" s="1"/>
  <c r="M83" i="5"/>
  <c r="L83" i="5"/>
  <c r="O83" i="5" s="1"/>
  <c r="M82" i="5"/>
  <c r="L82" i="5"/>
  <c r="O82" i="5" s="1"/>
  <c r="M81" i="5"/>
  <c r="L81" i="5"/>
  <c r="O81" i="5" s="1"/>
  <c r="M80" i="5"/>
  <c r="L80" i="5"/>
  <c r="O80" i="5" s="1"/>
  <c r="M79" i="5"/>
  <c r="L79" i="5"/>
  <c r="O79" i="5" s="1"/>
  <c r="M78" i="5"/>
  <c r="L78" i="5"/>
  <c r="O78" i="5" s="1"/>
  <c r="M77" i="5"/>
  <c r="L77" i="5"/>
  <c r="O77" i="5" s="1"/>
  <c r="M76" i="5"/>
  <c r="L76" i="5"/>
  <c r="O76" i="5" s="1"/>
  <c r="M75" i="5"/>
  <c r="L75" i="5"/>
  <c r="O75" i="5" s="1"/>
  <c r="M74" i="5"/>
  <c r="L74" i="5"/>
  <c r="O74" i="5" s="1"/>
  <c r="M73" i="5"/>
  <c r="L73" i="5"/>
  <c r="O73" i="5" s="1"/>
  <c r="M72" i="5"/>
  <c r="L72" i="5"/>
  <c r="O72" i="5" s="1"/>
  <c r="M71" i="5"/>
  <c r="L71" i="5"/>
  <c r="O71" i="5" s="1"/>
  <c r="M70" i="5"/>
  <c r="L70" i="5"/>
  <c r="O70" i="5" s="1"/>
  <c r="M69" i="5"/>
  <c r="L69" i="5"/>
  <c r="O69" i="5" s="1"/>
  <c r="M68" i="5"/>
  <c r="L68" i="5"/>
  <c r="O68" i="5" s="1"/>
  <c r="M67" i="5"/>
  <c r="L67" i="5"/>
  <c r="O67" i="5" s="1"/>
  <c r="M66" i="5"/>
  <c r="L66" i="5"/>
  <c r="O66" i="5" s="1"/>
  <c r="M65" i="5"/>
  <c r="L65" i="5"/>
  <c r="O65" i="5" s="1"/>
  <c r="M64" i="5"/>
  <c r="L64" i="5"/>
  <c r="O64" i="5" s="1"/>
  <c r="M63" i="5"/>
  <c r="L63" i="5"/>
  <c r="O63" i="5" s="1"/>
  <c r="M62" i="5"/>
  <c r="L62" i="5"/>
  <c r="O62" i="5" s="1"/>
  <c r="M61" i="5"/>
  <c r="L61" i="5"/>
  <c r="O61" i="5" s="1"/>
  <c r="M60" i="5"/>
  <c r="L60" i="5"/>
  <c r="O60" i="5" s="1"/>
  <c r="M59" i="5"/>
  <c r="L59" i="5"/>
  <c r="O59" i="5" s="1"/>
  <c r="M58" i="5"/>
  <c r="L58" i="5"/>
  <c r="O58" i="5" s="1"/>
  <c r="M57" i="5"/>
  <c r="L57" i="5"/>
  <c r="O57" i="5" s="1"/>
  <c r="M56" i="5"/>
  <c r="L56" i="5"/>
  <c r="O56" i="5" s="1"/>
  <c r="M55" i="5"/>
  <c r="L55" i="5"/>
  <c r="O55" i="5" s="1"/>
  <c r="M54" i="5"/>
  <c r="L54" i="5"/>
  <c r="O54" i="5" s="1"/>
  <c r="M53" i="5"/>
  <c r="L53" i="5"/>
  <c r="O53" i="5" s="1"/>
  <c r="M52" i="5"/>
  <c r="L52" i="5"/>
  <c r="O52" i="5" s="1"/>
  <c r="M51" i="5"/>
  <c r="L51" i="5"/>
  <c r="O51" i="5" s="1"/>
  <c r="M50" i="5"/>
  <c r="L50" i="5"/>
  <c r="O50" i="5" s="1"/>
  <c r="M49" i="5"/>
  <c r="L49" i="5"/>
  <c r="O49" i="5" s="1"/>
  <c r="M48" i="5"/>
  <c r="L48" i="5"/>
  <c r="O48" i="5" s="1"/>
  <c r="M47" i="5"/>
  <c r="L47" i="5"/>
  <c r="O47" i="5" s="1"/>
  <c r="M46" i="5"/>
  <c r="L46" i="5"/>
  <c r="O46" i="5" s="1"/>
  <c r="M45" i="5"/>
  <c r="L45" i="5"/>
  <c r="O45" i="5" s="1"/>
  <c r="M44" i="5"/>
  <c r="L44" i="5"/>
  <c r="O44" i="5" s="1"/>
  <c r="M43" i="5"/>
  <c r="L43" i="5"/>
  <c r="O43" i="5" s="1"/>
  <c r="M42" i="5"/>
  <c r="L42" i="5"/>
  <c r="O42" i="5" s="1"/>
  <c r="M41" i="5"/>
  <c r="L41" i="5"/>
  <c r="O41" i="5" s="1"/>
  <c r="M40" i="5"/>
  <c r="L40" i="5"/>
  <c r="O40" i="5" s="1"/>
  <c r="M39" i="5"/>
  <c r="L39" i="5"/>
  <c r="O39" i="5" s="1"/>
  <c r="M38" i="5"/>
  <c r="L38" i="5"/>
  <c r="O38" i="5" s="1"/>
  <c r="M37" i="5"/>
  <c r="L37" i="5"/>
  <c r="O37" i="5" s="1"/>
  <c r="M36" i="5"/>
  <c r="L36" i="5"/>
  <c r="O36" i="5" s="1"/>
  <c r="M35" i="5"/>
  <c r="L35" i="5"/>
  <c r="O35" i="5" s="1"/>
  <c r="M34" i="5"/>
  <c r="L34" i="5"/>
  <c r="O34" i="5" s="1"/>
  <c r="M33" i="5"/>
  <c r="L33" i="5"/>
  <c r="O33" i="5" s="1"/>
  <c r="M32" i="5"/>
  <c r="L32" i="5"/>
  <c r="O32" i="5" s="1"/>
  <c r="M31" i="5"/>
  <c r="L31" i="5"/>
  <c r="O31" i="5" s="1"/>
  <c r="M30" i="5"/>
  <c r="L30" i="5"/>
  <c r="O30" i="5" s="1"/>
  <c r="M29" i="5"/>
  <c r="L29" i="5"/>
  <c r="O29" i="5" s="1"/>
  <c r="M28" i="5"/>
  <c r="L28" i="5"/>
  <c r="O28" i="5" s="1"/>
  <c r="M27" i="5"/>
  <c r="L27" i="5"/>
  <c r="O27" i="5" s="1"/>
  <c r="M26" i="5"/>
  <c r="L26" i="5"/>
  <c r="O26" i="5" s="1"/>
  <c r="M25" i="5"/>
  <c r="L25" i="5"/>
  <c r="O25" i="5" s="1"/>
  <c r="M24" i="5"/>
  <c r="L24" i="5"/>
  <c r="O24" i="5" s="1"/>
  <c r="M23" i="5"/>
  <c r="L23" i="5"/>
  <c r="O23" i="5" s="1"/>
  <c r="M22" i="5"/>
  <c r="L22" i="5"/>
  <c r="O22" i="5" s="1"/>
  <c r="M21" i="5"/>
  <c r="L21" i="5"/>
  <c r="O21" i="5" s="1"/>
  <c r="M20" i="5"/>
  <c r="L20" i="5"/>
  <c r="O20" i="5" s="1"/>
  <c r="M19" i="5"/>
  <c r="L19" i="5"/>
  <c r="O19" i="5" s="1"/>
  <c r="M18" i="5"/>
  <c r="L18" i="5"/>
  <c r="O18" i="5" s="1"/>
  <c r="M17" i="5"/>
  <c r="L17" i="5"/>
  <c r="O17" i="5" s="1"/>
  <c r="M16" i="5"/>
  <c r="L16" i="5"/>
  <c r="O16" i="5" s="1"/>
  <c r="M15" i="5"/>
  <c r="L15" i="5"/>
  <c r="O15" i="5" s="1"/>
  <c r="M14" i="5"/>
  <c r="L14" i="5"/>
  <c r="O14" i="5" s="1"/>
  <c r="M13" i="5"/>
  <c r="L13" i="5"/>
  <c r="O13" i="5" s="1"/>
  <c r="M12" i="5"/>
  <c r="L12" i="5"/>
  <c r="O12" i="5" s="1"/>
  <c r="M11" i="5"/>
  <c r="L11" i="5"/>
  <c r="O11" i="5" s="1"/>
  <c r="M10" i="5"/>
  <c r="L10" i="5"/>
  <c r="O10" i="5" s="1"/>
  <c r="L9" i="5"/>
  <c r="O9" i="5" s="1"/>
  <c r="M186" i="5"/>
  <c r="L186" i="5"/>
  <c r="O186" i="5" s="1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H200" i="5"/>
  <c r="H199" i="5"/>
  <c r="H198" i="5"/>
  <c r="F209" i="5" s="1"/>
  <c r="H197" i="5"/>
  <c r="F213" i="5" s="1"/>
  <c r="E210" i="1"/>
  <c r="G5" i="1"/>
  <c r="E190" i="1"/>
  <c r="E196" i="1"/>
  <c r="E202" i="1"/>
  <c r="E206" i="1"/>
  <c r="G193" i="1"/>
  <c r="E222" i="1" s="1"/>
  <c r="G192" i="1"/>
  <c r="G191" i="1"/>
  <c r="G190" i="1"/>
  <c r="K2" i="3"/>
  <c r="L2" i="3"/>
  <c r="M2" i="3" s="1"/>
  <c r="N2" i="3" s="1"/>
  <c r="O2" i="3" s="1"/>
  <c r="P2" i="3" s="1"/>
  <c r="Q2" i="3" s="1"/>
  <c r="R2" i="3" s="1"/>
  <c r="D5" i="3"/>
  <c r="C6" i="3"/>
  <c r="D6" i="3"/>
  <c r="H6" i="3" s="1"/>
  <c r="E6" i="3"/>
  <c r="H8" i="3"/>
  <c r="H9" i="3"/>
  <c r="H10" i="3"/>
  <c r="H11" i="3"/>
  <c r="H12" i="3"/>
  <c r="H13" i="3"/>
  <c r="H14" i="3"/>
  <c r="H15" i="3"/>
  <c r="O8" i="5" l="1"/>
  <c r="F229" i="5"/>
  <c r="F217" i="5"/>
  <c r="F203" i="5"/>
  <c r="F197" i="5"/>
  <c r="F210" i="5"/>
  <c r="H16" i="5"/>
  <c r="N16" i="5" s="1"/>
  <c r="H18" i="5"/>
  <c r="N18" i="5" s="1"/>
  <c r="H136" i="5"/>
  <c r="N136" i="5" s="1"/>
  <c r="H33" i="5"/>
  <c r="N33" i="5" s="1"/>
  <c r="H115" i="5"/>
  <c r="N115" i="5" s="1"/>
  <c r="H173" i="5"/>
  <c r="N173" i="5" s="1"/>
  <c r="H137" i="5"/>
  <c r="N137" i="5" s="1"/>
  <c r="H169" i="5"/>
  <c r="N169" i="5" s="1"/>
  <c r="H101" i="5"/>
  <c r="N101" i="5" s="1"/>
  <c r="H138" i="5"/>
  <c r="N138" i="5" s="1"/>
  <c r="H150" i="5"/>
  <c r="N150" i="5" s="1"/>
  <c r="H166" i="5"/>
  <c r="N166" i="5" s="1"/>
  <c r="F214" i="5"/>
  <c r="H80" i="5"/>
  <c r="N80" i="5" s="1"/>
  <c r="H17" i="5"/>
  <c r="N17" i="5" s="1"/>
  <c r="H79" i="5"/>
  <c r="N79" i="5" s="1"/>
  <c r="H88" i="5"/>
  <c r="N88" i="5" s="1"/>
  <c r="H24" i="5"/>
  <c r="N24" i="5" s="1"/>
  <c r="H64" i="5"/>
  <c r="N64" i="5" s="1"/>
  <c r="H67" i="5"/>
  <c r="N67" i="5" s="1"/>
  <c r="H48" i="5"/>
  <c r="N48" i="5" s="1"/>
  <c r="H119" i="5"/>
  <c r="N119" i="5" s="1"/>
  <c r="H163" i="5"/>
  <c r="N163" i="5" s="1"/>
  <c r="H81" i="5"/>
  <c r="N81" i="5" s="1"/>
  <c r="E224" i="1"/>
  <c r="G114" i="1"/>
  <c r="H114" i="1" s="1"/>
  <c r="G113" i="1"/>
  <c r="H113" i="1" s="1"/>
  <c r="E191" i="1"/>
  <c r="G19" i="1"/>
  <c r="H19" i="1" s="1"/>
  <c r="G21" i="1"/>
  <c r="H21" i="1" s="1"/>
  <c r="G68" i="1"/>
  <c r="H68" i="1" s="1"/>
  <c r="G80" i="1"/>
  <c r="H80" i="1" s="1"/>
  <c r="G117" i="1"/>
  <c r="H117" i="1" s="1"/>
  <c r="G18" i="1"/>
  <c r="H18" i="1" s="1"/>
  <c r="G20" i="1"/>
  <c r="H20" i="1" s="1"/>
  <c r="G69" i="1"/>
  <c r="H69" i="1" s="1"/>
  <c r="G107" i="1"/>
  <c r="H107" i="1" s="1"/>
  <c r="G119" i="1"/>
  <c r="H119" i="1" s="1"/>
  <c r="G3" i="1"/>
  <c r="H3" i="1" s="1"/>
  <c r="G70" i="1"/>
  <c r="H70" i="1" s="1"/>
  <c r="G79" i="1"/>
  <c r="H79" i="1" s="1"/>
  <c r="G90" i="1"/>
  <c r="H90" i="1" s="1"/>
  <c r="G91" i="1"/>
  <c r="H91" i="1" s="1"/>
  <c r="G102" i="1"/>
  <c r="H102" i="1" s="1"/>
  <c r="G118" i="1"/>
  <c r="H118" i="1" s="1"/>
  <c r="H5" i="3"/>
  <c r="K15" i="3"/>
  <c r="J15" i="3"/>
  <c r="R14" i="3"/>
  <c r="Q14" i="3"/>
  <c r="P14" i="3"/>
  <c r="O14" i="3"/>
  <c r="N14" i="3"/>
  <c r="M14" i="3"/>
  <c r="L14" i="3"/>
  <c r="K14" i="3"/>
  <c r="J14" i="3"/>
  <c r="R8" i="3"/>
  <c r="Q8" i="3"/>
  <c r="P8" i="3"/>
  <c r="O8" i="3"/>
  <c r="N8" i="3"/>
  <c r="M8" i="3"/>
  <c r="L8" i="3"/>
  <c r="K8" i="3"/>
  <c r="J8" i="3"/>
  <c r="R13" i="3"/>
  <c r="Q13" i="3"/>
  <c r="P13" i="3"/>
  <c r="O13" i="3"/>
  <c r="N13" i="3"/>
  <c r="M13" i="3"/>
  <c r="L13" i="3"/>
  <c r="K13" i="3"/>
  <c r="J13" i="3"/>
  <c r="R9" i="3"/>
  <c r="Q9" i="3"/>
  <c r="P9" i="3"/>
  <c r="O9" i="3"/>
  <c r="N9" i="3"/>
  <c r="M9" i="3"/>
  <c r="L9" i="3"/>
  <c r="K9" i="3"/>
  <c r="J9" i="3"/>
  <c r="R11" i="3"/>
  <c r="Q11" i="3"/>
  <c r="P11" i="3"/>
  <c r="O11" i="3"/>
  <c r="N11" i="3"/>
  <c r="M11" i="3"/>
  <c r="L11" i="3"/>
  <c r="K11" i="3"/>
  <c r="J11" i="3"/>
  <c r="R10" i="3"/>
  <c r="Q10" i="3"/>
  <c r="P10" i="3"/>
  <c r="O10" i="3"/>
  <c r="N10" i="3"/>
  <c r="M10" i="3"/>
  <c r="L10" i="3"/>
  <c r="K10" i="3"/>
  <c r="J10" i="3"/>
  <c r="R15" i="3"/>
  <c r="Q15" i="3"/>
  <c r="P15" i="3"/>
  <c r="O15" i="3"/>
  <c r="N15" i="3"/>
  <c r="M15" i="3"/>
  <c r="L15" i="3"/>
  <c r="R12" i="3"/>
  <c r="Q12" i="3"/>
  <c r="P12" i="3"/>
  <c r="O12" i="3"/>
  <c r="N12" i="3"/>
  <c r="M12" i="3"/>
  <c r="L12" i="3"/>
  <c r="K12" i="3"/>
  <c r="J12" i="3"/>
  <c r="S12" i="3" s="1"/>
  <c r="I16" i="5" l="1"/>
  <c r="I18" i="5"/>
  <c r="I136" i="5"/>
  <c r="I33" i="5"/>
  <c r="I115" i="5"/>
  <c r="I173" i="5"/>
  <c r="I137" i="5"/>
  <c r="I169" i="5"/>
  <c r="I101" i="5"/>
  <c r="I138" i="5"/>
  <c r="I150" i="5"/>
  <c r="I166" i="5"/>
  <c r="I80" i="5"/>
  <c r="I17" i="5"/>
  <c r="I79" i="5"/>
  <c r="I88" i="5"/>
  <c r="I24" i="5"/>
  <c r="I64" i="5"/>
  <c r="I67" i="5"/>
  <c r="I48" i="5"/>
  <c r="I119" i="5"/>
  <c r="I163" i="5"/>
  <c r="I81" i="5"/>
  <c r="H120" i="5"/>
  <c r="N120" i="5" s="1"/>
  <c r="H121" i="5"/>
  <c r="N121" i="5" s="1"/>
  <c r="F231" i="5"/>
  <c r="F218" i="5"/>
  <c r="H44" i="5"/>
  <c r="N44" i="5" s="1"/>
  <c r="H68" i="5"/>
  <c r="N68" i="5" s="1"/>
  <c r="H69" i="5"/>
  <c r="N69" i="5" s="1"/>
  <c r="H175" i="5"/>
  <c r="N175" i="5" s="1"/>
  <c r="F204" i="5"/>
  <c r="H72" i="5"/>
  <c r="N72" i="5" s="1"/>
  <c r="H60" i="5"/>
  <c r="N60" i="5" s="1"/>
  <c r="H139" i="5"/>
  <c r="N139" i="5" s="1"/>
  <c r="H141" i="5"/>
  <c r="N141" i="5" s="1"/>
  <c r="H174" i="5"/>
  <c r="N174" i="5" s="1"/>
  <c r="H176" i="5"/>
  <c r="N176" i="5" s="1"/>
  <c r="H177" i="5"/>
  <c r="N177" i="5" s="1"/>
  <c r="H55" i="5"/>
  <c r="N55" i="5" s="1"/>
  <c r="H59" i="5"/>
  <c r="N59" i="5" s="1"/>
  <c r="F198" i="5"/>
  <c r="H76" i="5"/>
  <c r="N76" i="5" s="1"/>
  <c r="H87" i="5"/>
  <c r="N87" i="5" s="1"/>
  <c r="H109" i="5"/>
  <c r="N109" i="5" s="1"/>
  <c r="H125" i="5"/>
  <c r="N125" i="5" s="1"/>
  <c r="H10" i="5"/>
  <c r="N10" i="5" s="1"/>
  <c r="H25" i="5"/>
  <c r="N25" i="5" s="1"/>
  <c r="H26" i="5"/>
  <c r="N26" i="5" s="1"/>
  <c r="H27" i="5"/>
  <c r="N27" i="5" s="1"/>
  <c r="H28" i="5"/>
  <c r="N28" i="5" s="1"/>
  <c r="H75" i="5"/>
  <c r="N75" i="5" s="1"/>
  <c r="H86" i="5"/>
  <c r="N86" i="5" s="1"/>
  <c r="H124" i="5"/>
  <c r="N124" i="5" s="1"/>
  <c r="H98" i="5"/>
  <c r="N98" i="5" s="1"/>
  <c r="H77" i="5"/>
  <c r="N77" i="5" s="1"/>
  <c r="H114" i="5"/>
  <c r="N114" i="5" s="1"/>
  <c r="H126" i="5"/>
  <c r="N126" i="5" s="1"/>
  <c r="H97" i="5"/>
  <c r="N97" i="5" s="1"/>
  <c r="F211" i="5"/>
  <c r="H73" i="5"/>
  <c r="N73" i="5" s="1"/>
  <c r="H102" i="5"/>
  <c r="N102" i="5" s="1"/>
  <c r="H116" i="5"/>
  <c r="N116" i="5" s="1"/>
  <c r="H132" i="5"/>
  <c r="N132" i="5" s="1"/>
  <c r="H31" i="5"/>
  <c r="N31" i="5" s="1"/>
  <c r="H34" i="5"/>
  <c r="N34" i="5" s="1"/>
  <c r="H184" i="5"/>
  <c r="N184" i="5" s="1"/>
  <c r="H74" i="5"/>
  <c r="N74" i="5" s="1"/>
  <c r="H131" i="5"/>
  <c r="N131" i="5" s="1"/>
  <c r="H148" i="5"/>
  <c r="N148" i="5" s="1"/>
  <c r="H149" i="5"/>
  <c r="N149" i="5" s="1"/>
  <c r="H157" i="5"/>
  <c r="N157" i="5" s="1"/>
  <c r="H160" i="5"/>
  <c r="N160" i="5" s="1"/>
  <c r="H171" i="5"/>
  <c r="N171" i="5" s="1"/>
  <c r="F215" i="5"/>
  <c r="H92" i="5"/>
  <c r="N92" i="5" s="1"/>
  <c r="H11" i="5"/>
  <c r="N11" i="5" s="1"/>
  <c r="H12" i="5"/>
  <c r="N12" i="5" s="1"/>
  <c r="H13" i="5"/>
  <c r="N13" i="5" s="1"/>
  <c r="H14" i="5"/>
  <c r="N14" i="5" s="1"/>
  <c r="H15" i="5"/>
  <c r="N15" i="5" s="1"/>
  <c r="H21" i="5"/>
  <c r="N21" i="5" s="1"/>
  <c r="H23" i="5"/>
  <c r="N23" i="5" s="1"/>
  <c r="H63" i="5"/>
  <c r="N63" i="5" s="1"/>
  <c r="H93" i="5"/>
  <c r="N93" i="5" s="1"/>
  <c r="H54" i="5"/>
  <c r="N54" i="5" s="1"/>
  <c r="H103" i="5"/>
  <c r="N103" i="5" s="1"/>
  <c r="H62" i="5"/>
  <c r="N62" i="5" s="1"/>
  <c r="H91" i="5"/>
  <c r="N91" i="5" s="1"/>
  <c r="H110" i="5"/>
  <c r="N110" i="5" s="1"/>
  <c r="G40" i="1"/>
  <c r="H40" i="1" s="1"/>
  <c r="G42" i="1"/>
  <c r="H42" i="1" s="1"/>
  <c r="G92" i="1"/>
  <c r="H92" i="1" s="1"/>
  <c r="G101" i="1"/>
  <c r="H101" i="1" s="1"/>
  <c r="G100" i="1"/>
  <c r="H100" i="1" s="1"/>
  <c r="G104" i="1"/>
  <c r="H104" i="1" s="1"/>
  <c r="G115" i="1"/>
  <c r="H115" i="1" s="1"/>
  <c r="E211" i="1"/>
  <c r="G61" i="1"/>
  <c r="H61" i="1" s="1"/>
  <c r="G37" i="1"/>
  <c r="H37" i="1" s="1"/>
  <c r="G62" i="1"/>
  <c r="H62" i="1" s="1"/>
  <c r="G168" i="1"/>
  <c r="H168" i="1" s="1"/>
  <c r="E203" i="1"/>
  <c r="G9" i="1"/>
  <c r="H9" i="1" s="1"/>
  <c r="G26" i="1"/>
  <c r="H26" i="1" s="1"/>
  <c r="G11" i="1"/>
  <c r="H11" i="1" s="1"/>
  <c r="G94" i="1"/>
  <c r="H94" i="1" s="1"/>
  <c r="G129" i="1"/>
  <c r="H129" i="1" s="1"/>
  <c r="G131" i="1"/>
  <c r="H131" i="1" s="1"/>
  <c r="G143" i="1"/>
  <c r="H143" i="1" s="1"/>
  <c r="G162" i="1"/>
  <c r="H162" i="1" s="1"/>
  <c r="G166" i="1"/>
  <c r="H166" i="1" s="1"/>
  <c r="G108" i="1"/>
  <c r="H108" i="1" s="1"/>
  <c r="G130" i="1"/>
  <c r="H130" i="1" s="1"/>
  <c r="G159" i="1"/>
  <c r="H159" i="1" s="1"/>
  <c r="E207" i="1"/>
  <c r="G10" i="1"/>
  <c r="H10" i="1" s="1"/>
  <c r="G41" i="1"/>
  <c r="H41" i="1" s="1"/>
  <c r="G74" i="1"/>
  <c r="H74" i="1" s="1"/>
  <c r="G57" i="1"/>
  <c r="H57" i="1" s="1"/>
  <c r="G72" i="1"/>
  <c r="H72" i="1" s="1"/>
  <c r="G81" i="1"/>
  <c r="H81" i="1" s="1"/>
  <c r="G17" i="1"/>
  <c r="H17" i="1" s="1"/>
  <c r="G60" i="1"/>
  <c r="H60" i="1" s="1"/>
  <c r="G73" i="1"/>
  <c r="H73" i="1" s="1"/>
  <c r="G112" i="1"/>
  <c r="H112" i="1" s="1"/>
  <c r="G156" i="1"/>
  <c r="H156" i="1" s="1"/>
  <c r="E197" i="1"/>
  <c r="G53" i="1"/>
  <c r="H53" i="1" s="1"/>
  <c r="G65" i="1"/>
  <c r="H65" i="1" s="1"/>
  <c r="G52" i="1"/>
  <c r="H52" i="1" s="1"/>
  <c r="G48" i="1"/>
  <c r="H48" i="1" s="1"/>
  <c r="E192" i="1"/>
  <c r="G179" i="1"/>
  <c r="H179" i="1" s="1"/>
  <c r="G63" i="1"/>
  <c r="H63" i="1" s="1"/>
  <c r="G105" i="1"/>
  <c r="H105" i="1" s="1"/>
  <c r="G116" i="1"/>
  <c r="H116" i="1" s="1"/>
  <c r="G152" i="1"/>
  <c r="H152" i="1" s="1"/>
  <c r="G155" i="1"/>
  <c r="H155" i="1" s="1"/>
  <c r="G64" i="1"/>
  <c r="H64" i="1" s="1"/>
  <c r="G169" i="1"/>
  <c r="H169" i="1" s="1"/>
  <c r="G170" i="1"/>
  <c r="H170" i="1" s="1"/>
  <c r="G167" i="1"/>
  <c r="H167" i="1" s="1"/>
  <c r="G132" i="1"/>
  <c r="H132" i="1" s="1"/>
  <c r="G134" i="1"/>
  <c r="H134" i="1" s="1"/>
  <c r="G178" i="1"/>
  <c r="H178" i="1" s="1"/>
  <c r="S15" i="3"/>
  <c r="R16" i="3"/>
  <c r="R6" i="3" s="1"/>
  <c r="R5" i="3" s="1"/>
  <c r="R4" i="3" s="1"/>
  <c r="Q16" i="3"/>
  <c r="Q6" i="3" s="1"/>
  <c r="Q5" i="3" s="1"/>
  <c r="Q4" i="3" s="1"/>
  <c r="P16" i="3"/>
  <c r="P6" i="3" s="1"/>
  <c r="P5" i="3" s="1"/>
  <c r="P4" i="3" s="1"/>
  <c r="N16" i="3"/>
  <c r="N6" i="3" s="1"/>
  <c r="N5" i="3" s="1"/>
  <c r="N4" i="3" s="1"/>
  <c r="L16" i="3"/>
  <c r="L6" i="3" s="1"/>
  <c r="L5" i="3" s="1"/>
  <c r="L4" i="3" s="1"/>
  <c r="J16" i="3"/>
  <c r="J6" i="3" s="1"/>
  <c r="S8" i="3"/>
  <c r="S11" i="3"/>
  <c r="O16" i="3"/>
  <c r="O6" i="3" s="1"/>
  <c r="O5" i="3" s="1"/>
  <c r="O4" i="3" s="1"/>
  <c r="M16" i="3"/>
  <c r="M6" i="3" s="1"/>
  <c r="M5" i="3" s="1"/>
  <c r="M4" i="3" s="1"/>
  <c r="K16" i="3"/>
  <c r="K6" i="3" s="1"/>
  <c r="K5" i="3" s="1"/>
  <c r="K4" i="3" s="1"/>
  <c r="S13" i="3"/>
  <c r="S9" i="3"/>
  <c r="S10" i="3"/>
  <c r="S14" i="3"/>
  <c r="I120" i="5" l="1"/>
  <c r="I121" i="5"/>
  <c r="I44" i="5"/>
  <c r="I68" i="5"/>
  <c r="I69" i="5"/>
  <c r="I175" i="5"/>
  <c r="I72" i="5"/>
  <c r="I60" i="5"/>
  <c r="I139" i="5"/>
  <c r="I141" i="5"/>
  <c r="I174" i="5"/>
  <c r="I176" i="5"/>
  <c r="I177" i="5"/>
  <c r="I55" i="5"/>
  <c r="I59" i="5"/>
  <c r="I76" i="5"/>
  <c r="I87" i="5"/>
  <c r="I109" i="5"/>
  <c r="I125" i="5"/>
  <c r="I10" i="5"/>
  <c r="I25" i="5"/>
  <c r="I26" i="5"/>
  <c r="I27" i="5"/>
  <c r="I28" i="5"/>
  <c r="I75" i="5"/>
  <c r="I86" i="5"/>
  <c r="I124" i="5"/>
  <c r="I98" i="5"/>
  <c r="I77" i="5"/>
  <c r="I114" i="5"/>
  <c r="I126" i="5"/>
  <c r="I97" i="5"/>
  <c r="I73" i="5"/>
  <c r="I102" i="5"/>
  <c r="I116" i="5"/>
  <c r="I132" i="5"/>
  <c r="I31" i="5"/>
  <c r="I34" i="5"/>
  <c r="I184" i="5"/>
  <c r="I74" i="5"/>
  <c r="I131" i="5"/>
  <c r="I148" i="5"/>
  <c r="I149" i="5"/>
  <c r="I157" i="5"/>
  <c r="I160" i="5"/>
  <c r="I171" i="5"/>
  <c r="I92" i="5"/>
  <c r="I11" i="5"/>
  <c r="I12" i="5"/>
  <c r="I13" i="5"/>
  <c r="I14" i="5"/>
  <c r="I15" i="5"/>
  <c r="I21" i="5"/>
  <c r="I23" i="5"/>
  <c r="I63" i="5"/>
  <c r="I93" i="5"/>
  <c r="I54" i="5"/>
  <c r="I103" i="5"/>
  <c r="I62" i="5"/>
  <c r="I91" i="5"/>
  <c r="I110" i="5"/>
  <c r="H107" i="5"/>
  <c r="N107" i="5" s="1"/>
  <c r="H122" i="5"/>
  <c r="N122" i="5" s="1"/>
  <c r="H99" i="5"/>
  <c r="N99" i="5" s="1"/>
  <c r="H111" i="5"/>
  <c r="N111" i="5" s="1"/>
  <c r="H47" i="5"/>
  <c r="N47" i="5" s="1"/>
  <c r="H49" i="5"/>
  <c r="N49" i="5" s="1"/>
  <c r="H108" i="5"/>
  <c r="N108" i="5" s="1"/>
  <c r="F219" i="5"/>
  <c r="H35" i="5"/>
  <c r="N35" i="5" s="1"/>
  <c r="H40" i="5"/>
  <c r="N40" i="5" s="1"/>
  <c r="F205" i="5"/>
  <c r="H130" i="5"/>
  <c r="N130" i="5" s="1"/>
  <c r="H128" i="5"/>
  <c r="N128" i="5" s="1"/>
  <c r="H158" i="5"/>
  <c r="N158" i="5" s="1"/>
  <c r="H104" i="5"/>
  <c r="N104" i="5" s="1"/>
  <c r="H154" i="5"/>
  <c r="N154" i="5" s="1"/>
  <c r="H155" i="5"/>
  <c r="N155" i="5" s="1"/>
  <c r="H167" i="5"/>
  <c r="N167" i="5" s="1"/>
  <c r="H183" i="5"/>
  <c r="N183" i="5" s="1"/>
  <c r="H147" i="5"/>
  <c r="N147" i="5" s="1"/>
  <c r="H156" i="5"/>
  <c r="N156" i="5" s="1"/>
  <c r="F199" i="5"/>
  <c r="H70" i="5"/>
  <c r="N70" i="5" s="1"/>
  <c r="H112" i="5"/>
  <c r="N112" i="5" s="1"/>
  <c r="H71" i="5"/>
  <c r="N71" i="5" s="1"/>
  <c r="H123" i="5"/>
  <c r="N123" i="5" s="1"/>
  <c r="H185" i="5"/>
  <c r="N185" i="5" s="1"/>
  <c r="H159" i="5"/>
  <c r="N159" i="5" s="1"/>
  <c r="H162" i="5"/>
  <c r="N162" i="5" s="1"/>
  <c r="H186" i="5"/>
  <c r="N186" i="5" s="1"/>
  <c r="F212" i="5"/>
  <c r="H32" i="5"/>
  <c r="N32" i="5" s="1"/>
  <c r="H89" i="5"/>
  <c r="N89" i="5" s="1"/>
  <c r="H83" i="5"/>
  <c r="N83" i="5" s="1"/>
  <c r="H152" i="5"/>
  <c r="N152" i="5" s="1"/>
  <c r="H94" i="5"/>
  <c r="N94" i="5" s="1"/>
  <c r="H117" i="5"/>
  <c r="N117" i="5" s="1"/>
  <c r="H168" i="5"/>
  <c r="N168" i="5" s="1"/>
  <c r="H85" i="5"/>
  <c r="N85" i="5" s="1"/>
  <c r="H22" i="5"/>
  <c r="N22" i="5" s="1"/>
  <c r="H9" i="5"/>
  <c r="N9" i="5" s="1"/>
  <c r="H96" i="5"/>
  <c r="N96" i="5" s="1"/>
  <c r="H127" i="5"/>
  <c r="N127" i="5" s="1"/>
  <c r="E212" i="1"/>
  <c r="G28" i="1"/>
  <c r="H28" i="1" s="1"/>
  <c r="G33" i="1"/>
  <c r="H33" i="1" s="1"/>
  <c r="E204" i="1"/>
  <c r="G24" i="1"/>
  <c r="H24" i="1" s="1"/>
  <c r="G125" i="1"/>
  <c r="H125" i="1" s="1"/>
  <c r="G27" i="1"/>
  <c r="H27" i="1" s="1"/>
  <c r="G66" i="1"/>
  <c r="H66" i="1" s="1"/>
  <c r="G109" i="1"/>
  <c r="H109" i="1" s="1"/>
  <c r="G141" i="1"/>
  <c r="H141" i="1" s="1"/>
  <c r="G150" i="1"/>
  <c r="H150" i="1" s="1"/>
  <c r="G164" i="1"/>
  <c r="H164" i="1" s="1"/>
  <c r="G177" i="1"/>
  <c r="H177" i="1" s="1"/>
  <c r="G67" i="1"/>
  <c r="H67" i="1" s="1"/>
  <c r="G95" i="1"/>
  <c r="H95" i="1" s="1"/>
  <c r="G124" i="1"/>
  <c r="H124" i="1" s="1"/>
  <c r="G142" i="1"/>
  <c r="H142" i="1" s="1"/>
  <c r="G153" i="1"/>
  <c r="H153" i="1" s="1"/>
  <c r="E208" i="1"/>
  <c r="G4" i="1"/>
  <c r="H4" i="1" s="1"/>
  <c r="G6" i="1"/>
  <c r="H6" i="1" s="1"/>
  <c r="G14" i="1"/>
  <c r="H14" i="1" s="1"/>
  <c r="G16" i="1"/>
  <c r="H16" i="1" s="1"/>
  <c r="G47" i="1"/>
  <c r="H47" i="1" s="1"/>
  <c r="G56" i="1"/>
  <c r="H56" i="1" s="1"/>
  <c r="H5" i="1"/>
  <c r="G8" i="1"/>
  <c r="H8" i="1" s="1"/>
  <c r="G85" i="1"/>
  <c r="H85" i="1" s="1"/>
  <c r="G96" i="1"/>
  <c r="H96" i="1" s="1"/>
  <c r="G103" i="1"/>
  <c r="H103" i="1" s="1"/>
  <c r="G7" i="1"/>
  <c r="H7" i="1" s="1"/>
  <c r="G55" i="1"/>
  <c r="H55" i="1" s="1"/>
  <c r="G84" i="1"/>
  <c r="H84" i="1" s="1"/>
  <c r="G86" i="1"/>
  <c r="H86" i="1" s="1"/>
  <c r="E198" i="1"/>
  <c r="G123" i="1"/>
  <c r="H123" i="1" s="1"/>
  <c r="G148" i="1"/>
  <c r="H148" i="1" s="1"/>
  <c r="G160" i="1"/>
  <c r="H160" i="1" s="1"/>
  <c r="G97" i="1"/>
  <c r="H97" i="1" s="1"/>
  <c r="G121" i="1"/>
  <c r="H121" i="1" s="1"/>
  <c r="G140" i="1"/>
  <c r="H140" i="1" s="1"/>
  <c r="G147" i="1"/>
  <c r="H147" i="1" s="1"/>
  <c r="G149" i="1"/>
  <c r="H149" i="1" s="1"/>
  <c r="G151" i="1"/>
  <c r="H151" i="1" s="1"/>
  <c r="G176" i="1"/>
  <c r="H176" i="1" s="1"/>
  <c r="E193" i="1"/>
  <c r="G22" i="1"/>
  <c r="H22" i="1" s="1"/>
  <c r="G43" i="1"/>
  <c r="H43" i="1" s="1"/>
  <c r="G45" i="1"/>
  <c r="H45" i="1" s="1"/>
  <c r="G23" i="1"/>
  <c r="H23" i="1" s="1"/>
  <c r="G44" i="1"/>
  <c r="H44" i="1" s="1"/>
  <c r="G46" i="1"/>
  <c r="H46" i="1" s="1"/>
  <c r="G98" i="1"/>
  <c r="H98" i="1" s="1"/>
  <c r="G99" i="1"/>
  <c r="H99" i="1" s="1"/>
  <c r="G138" i="1"/>
  <c r="H138" i="1" s="1"/>
  <c r="J5" i="3"/>
  <c r="S6" i="3"/>
  <c r="I107" i="5" l="1"/>
  <c r="I122" i="5"/>
  <c r="I99" i="5"/>
  <c r="I111" i="5"/>
  <c r="I47" i="5"/>
  <c r="I49" i="5"/>
  <c r="I108" i="5"/>
  <c r="I35" i="5"/>
  <c r="I40" i="5"/>
  <c r="I130" i="5"/>
  <c r="I128" i="5"/>
  <c r="I158" i="5"/>
  <c r="I104" i="5"/>
  <c r="I154" i="5"/>
  <c r="I155" i="5"/>
  <c r="I167" i="5"/>
  <c r="I183" i="5"/>
  <c r="I147" i="5"/>
  <c r="I156" i="5"/>
  <c r="I70" i="5"/>
  <c r="I112" i="5"/>
  <c r="I71" i="5"/>
  <c r="I123" i="5"/>
  <c r="I185" i="5"/>
  <c r="I159" i="5"/>
  <c r="I162" i="5"/>
  <c r="I186" i="5"/>
  <c r="I32" i="5"/>
  <c r="I89" i="5"/>
  <c r="I83" i="5"/>
  <c r="I152" i="5"/>
  <c r="I94" i="5"/>
  <c r="I117" i="5"/>
  <c r="I168" i="5"/>
  <c r="I85" i="5"/>
  <c r="I22" i="5"/>
  <c r="I9" i="5"/>
  <c r="I96" i="5"/>
  <c r="I127" i="5"/>
  <c r="F220" i="5"/>
  <c r="H36" i="5"/>
  <c r="N36" i="5" s="1"/>
  <c r="H42" i="5"/>
  <c r="N42" i="5" s="1"/>
  <c r="F206" i="5"/>
  <c r="H82" i="5"/>
  <c r="N82" i="5" s="1"/>
  <c r="H129" i="5"/>
  <c r="N129" i="5" s="1"/>
  <c r="H146" i="5"/>
  <c r="N146" i="5" s="1"/>
  <c r="H164" i="5"/>
  <c r="N164" i="5" s="1"/>
  <c r="H165" i="5"/>
  <c r="N165" i="5" s="1"/>
  <c r="H178" i="5"/>
  <c r="N178" i="5" s="1"/>
  <c r="H179" i="5"/>
  <c r="N179" i="5" s="1"/>
  <c r="H180" i="5"/>
  <c r="N180" i="5" s="1"/>
  <c r="H181" i="5"/>
  <c r="N181" i="5" s="1"/>
  <c r="H78" i="5"/>
  <c r="N78" i="5" s="1"/>
  <c r="H140" i="5"/>
  <c r="N140" i="5" s="1"/>
  <c r="H105" i="5"/>
  <c r="N105" i="5" s="1"/>
  <c r="H29" i="5"/>
  <c r="N29" i="5" s="1"/>
  <c r="H30" i="5"/>
  <c r="N30" i="5" s="1"/>
  <c r="H106" i="5"/>
  <c r="N106" i="5" s="1"/>
  <c r="H50" i="5"/>
  <c r="N50" i="5" s="1"/>
  <c r="H51" i="5"/>
  <c r="N51" i="5" s="1"/>
  <c r="H52" i="5"/>
  <c r="N52" i="5" s="1"/>
  <c r="H53" i="5"/>
  <c r="N53" i="5" s="1"/>
  <c r="H145" i="5"/>
  <c r="N145" i="5" s="1"/>
  <c r="F200" i="5"/>
  <c r="H84" i="5"/>
  <c r="N84" i="5" s="1"/>
  <c r="H143" i="5"/>
  <c r="N143" i="5" s="1"/>
  <c r="H95" i="5"/>
  <c r="N95" i="5" s="1"/>
  <c r="H118" i="5"/>
  <c r="N118" i="5" s="1"/>
  <c r="H133" i="5"/>
  <c r="N133" i="5" s="1"/>
  <c r="H135" i="5"/>
  <c r="N135" i="5" s="1"/>
  <c r="H142" i="5"/>
  <c r="N142" i="5" s="1"/>
  <c r="H151" i="5"/>
  <c r="N151" i="5" s="1"/>
  <c r="H172" i="5"/>
  <c r="N172" i="5" s="1"/>
  <c r="H90" i="5"/>
  <c r="N90" i="5" s="1"/>
  <c r="H134" i="5"/>
  <c r="N134" i="5" s="1"/>
  <c r="E213" i="1"/>
  <c r="G29" i="1"/>
  <c r="H29" i="1" s="1"/>
  <c r="G35" i="1"/>
  <c r="H35" i="1" s="1"/>
  <c r="E205" i="1"/>
  <c r="G76" i="1"/>
  <c r="H76" i="1" s="1"/>
  <c r="G25" i="1"/>
  <c r="H25" i="1" s="1"/>
  <c r="G87" i="1"/>
  <c r="H87" i="1" s="1"/>
  <c r="G145" i="1"/>
  <c r="H145" i="1" s="1"/>
  <c r="G82" i="1"/>
  <c r="H82" i="1" s="1"/>
  <c r="G110" i="1"/>
  <c r="H110" i="1" s="1"/>
  <c r="G161" i="1"/>
  <c r="H161" i="1" s="1"/>
  <c r="G120" i="1"/>
  <c r="H120" i="1" s="1"/>
  <c r="G2" i="1"/>
  <c r="H2" i="1" s="1"/>
  <c r="G15" i="1"/>
  <c r="H15" i="1" s="1"/>
  <c r="G78" i="1"/>
  <c r="H78" i="1" s="1"/>
  <c r="G89" i="1"/>
  <c r="H89" i="1" s="1"/>
  <c r="E199" i="1"/>
  <c r="G71" i="1"/>
  <c r="H71" i="1" s="1"/>
  <c r="G75" i="1"/>
  <c r="H75" i="1" s="1"/>
  <c r="G122" i="1"/>
  <c r="H122" i="1" s="1"/>
  <c r="G139" i="1"/>
  <c r="H139" i="1" s="1"/>
  <c r="G157" i="1"/>
  <c r="H157" i="1" s="1"/>
  <c r="G158" i="1"/>
  <c r="H158" i="1" s="1"/>
  <c r="G171" i="1"/>
  <c r="H171" i="1" s="1"/>
  <c r="G173" i="1"/>
  <c r="H173" i="1" s="1"/>
  <c r="G133" i="1"/>
  <c r="H133" i="1" s="1"/>
  <c r="G172" i="1"/>
  <c r="H172" i="1" s="1"/>
  <c r="G174" i="1"/>
  <c r="H174" i="1" s="1"/>
  <c r="E194" i="1"/>
  <c r="G93" i="1"/>
  <c r="H93" i="1" s="1"/>
  <c r="J4" i="3"/>
  <c r="S5" i="3"/>
  <c r="I36" i="5" l="1"/>
  <c r="I42" i="5"/>
  <c r="I82" i="5"/>
  <c r="I129" i="5"/>
  <c r="I146" i="5"/>
  <c r="I164" i="5"/>
  <c r="I165" i="5"/>
  <c r="I178" i="5"/>
  <c r="I179" i="5"/>
  <c r="I180" i="5"/>
  <c r="I181" i="5"/>
  <c r="I78" i="5"/>
  <c r="I140" i="5"/>
  <c r="I105" i="5"/>
  <c r="I29" i="5"/>
  <c r="I30" i="5"/>
  <c r="I106" i="5"/>
  <c r="I50" i="5"/>
  <c r="I51" i="5"/>
  <c r="I52" i="5"/>
  <c r="I53" i="5"/>
  <c r="I145" i="5"/>
  <c r="I84" i="5"/>
  <c r="I143" i="5"/>
  <c r="I95" i="5"/>
  <c r="I118" i="5"/>
  <c r="I133" i="5"/>
  <c r="I135" i="5"/>
  <c r="I142" i="5"/>
  <c r="I151" i="5"/>
  <c r="I172" i="5"/>
  <c r="I90" i="5"/>
  <c r="I134" i="5"/>
  <c r="F221" i="5"/>
  <c r="H37" i="5"/>
  <c r="N37" i="5" s="1"/>
  <c r="H43" i="5"/>
  <c r="N43" i="5" s="1"/>
  <c r="F207" i="5"/>
  <c r="H161" i="5"/>
  <c r="N161" i="5" s="1"/>
  <c r="H170" i="5"/>
  <c r="N170" i="5" s="1"/>
  <c r="H182" i="5"/>
  <c r="N182" i="5" s="1"/>
  <c r="F201" i="5"/>
  <c r="H100" i="5"/>
  <c r="N100" i="5" s="1"/>
  <c r="G36" i="1"/>
  <c r="H36" i="1" s="1"/>
  <c r="G30" i="1"/>
  <c r="H30" i="1" s="1"/>
  <c r="E214" i="1"/>
  <c r="G128" i="1"/>
  <c r="H128" i="1" s="1"/>
  <c r="G135" i="1"/>
  <c r="H135" i="1" s="1"/>
  <c r="G83" i="1"/>
  <c r="H83" i="1" s="1"/>
  <c r="G111" i="1"/>
  <c r="H111" i="1" s="1"/>
  <c r="G126" i="1"/>
  <c r="H126" i="1" s="1"/>
  <c r="G136" i="1"/>
  <c r="H136" i="1" s="1"/>
  <c r="G77" i="1"/>
  <c r="H77" i="1" s="1"/>
  <c r="G88" i="1"/>
  <c r="H88" i="1" s="1"/>
  <c r="G127" i="1"/>
  <c r="H127" i="1" s="1"/>
  <c r="G144" i="1"/>
  <c r="H144" i="1" s="1"/>
  <c r="G165" i="1"/>
  <c r="H165" i="1" s="1"/>
  <c r="E200" i="1"/>
  <c r="G175" i="1"/>
  <c r="H175" i="1" s="1"/>
  <c r="G154" i="1"/>
  <c r="H154" i="1" s="1"/>
  <c r="G163" i="1"/>
  <c r="H163" i="1" s="1"/>
  <c r="H4" i="3"/>
  <c r="S4" i="3"/>
  <c r="I37" i="5" l="1"/>
  <c r="I43" i="5"/>
  <c r="I161" i="5"/>
  <c r="I170" i="5"/>
  <c r="I182" i="5"/>
  <c r="I100" i="5"/>
  <c r="F222" i="5"/>
  <c r="H38" i="5"/>
  <c r="N38" i="5" s="1"/>
  <c r="H56" i="5"/>
  <c r="N56" i="5" s="1"/>
  <c r="H61" i="5"/>
  <c r="N61" i="5" s="1"/>
  <c r="H19" i="5"/>
  <c r="N19" i="5" s="1"/>
  <c r="H20" i="5"/>
  <c r="N20" i="5" s="1"/>
  <c r="H57" i="5"/>
  <c r="N57" i="5" s="1"/>
  <c r="H113" i="5"/>
  <c r="N113" i="5" s="1"/>
  <c r="H58" i="5"/>
  <c r="N58" i="5" s="1"/>
  <c r="H144" i="5"/>
  <c r="N144" i="5" s="1"/>
  <c r="H153" i="5"/>
  <c r="N153" i="5" s="1"/>
  <c r="G31" i="1"/>
  <c r="H31" i="1" s="1"/>
  <c r="E215" i="1"/>
  <c r="G12" i="1"/>
  <c r="H12" i="1" s="1"/>
  <c r="G13" i="1"/>
  <c r="H13" i="1" s="1"/>
  <c r="G49" i="1"/>
  <c r="H49" i="1" s="1"/>
  <c r="G50" i="1"/>
  <c r="H50" i="1" s="1"/>
  <c r="G51" i="1"/>
  <c r="H51" i="1" s="1"/>
  <c r="G54" i="1"/>
  <c r="H54" i="1" s="1"/>
  <c r="G106" i="1"/>
  <c r="H106" i="1" s="1"/>
  <c r="G137" i="1"/>
  <c r="H137" i="1" s="1"/>
  <c r="G146" i="1"/>
  <c r="H146" i="1" s="1"/>
  <c r="I38" i="5" l="1"/>
  <c r="I56" i="5"/>
  <c r="I61" i="5"/>
  <c r="I19" i="5"/>
  <c r="I20" i="5"/>
  <c r="I57" i="5"/>
  <c r="I113" i="5"/>
  <c r="I58" i="5"/>
  <c r="I144" i="5"/>
  <c r="I153" i="5"/>
  <c r="F223" i="5"/>
  <c r="H39" i="5"/>
  <c r="N39" i="5" s="1"/>
  <c r="H45" i="5"/>
  <c r="N45" i="5" s="1"/>
  <c r="G32" i="1"/>
  <c r="H32" i="1" s="1"/>
  <c r="G38" i="1"/>
  <c r="H38" i="1" s="1"/>
  <c r="E216" i="1"/>
  <c r="I39" i="5" l="1"/>
  <c r="I45" i="5"/>
  <c r="F224" i="5"/>
  <c r="H41" i="5"/>
  <c r="N41" i="5" s="1"/>
  <c r="H46" i="5"/>
  <c r="N46" i="5" s="1"/>
  <c r="E217" i="1"/>
  <c r="G34" i="1"/>
  <c r="H34" i="1" s="1"/>
  <c r="G39" i="1"/>
  <c r="H39" i="1" s="1"/>
  <c r="I41" i="5" l="1"/>
  <c r="I46" i="5"/>
  <c r="F225" i="5"/>
  <c r="H65" i="5"/>
  <c r="N65" i="5" s="1"/>
  <c r="G58" i="1"/>
  <c r="H58" i="1" s="1"/>
  <c r="E218" i="1"/>
  <c r="I65" i="5" l="1"/>
  <c r="F226" i="5"/>
  <c r="F227" i="5" s="1"/>
  <c r="H66" i="5"/>
  <c r="N66" i="5" s="1"/>
  <c r="G59" i="1"/>
  <c r="H59" i="1" s="1"/>
  <c r="E219" i="1"/>
  <c r="I66" i="5" l="1"/>
  <c r="L4" i="5" s="1"/>
  <c r="E220" i="1"/>
  <c r="R4" i="5" l="1"/>
  <c r="Q4" i="5" s="1"/>
  <c r="P4" i="5"/>
  <c r="K4" i="5"/>
  <c r="N4" i="5"/>
  <c r="M4" i="5"/>
  <c r="K7" i="5"/>
  <c r="N7" i="5"/>
  <c r="L7" i="5"/>
  <c r="M7" i="5"/>
  <c r="R6" i="5" l="1"/>
  <c r="S6" i="5" s="1"/>
  <c r="O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tc={43E52F22-0248-4509-A138-1BB1D541F506}</author>
    <author>tc={9812B63E-61A9-478C-8D5E-CBECF6E77047}</author>
  </authors>
  <commentList>
    <comment ref="C101" authorId="0" shapeId="0" xr:uid="{43E52F22-0248-4509-A138-1BB1D541F50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com TAG B3B
</t>
      </text>
    </comment>
    <comment ref="C102" authorId="1" shapeId="0" xr:uid="{9812B63E-61A9-478C-8D5E-CBECF6E7704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Chegou com TAG B3B
</t>
      </text>
    </comment>
  </commentList>
</comments>
</file>

<file path=xl/sharedStrings.xml><?xml version="1.0" encoding="utf-8"?>
<sst xmlns="http://schemas.openxmlformats.org/spreadsheetml/2006/main" count="2088" uniqueCount="562">
  <si>
    <t>LINHA</t>
  </si>
  <si>
    <t>1"-A1E-CF-4310A</t>
  </si>
  <si>
    <t>1"-A3B-CWR-0612</t>
  </si>
  <si>
    <t>1"-B1E-MR-4005A</t>
  </si>
  <si>
    <t>1"-B1E-MR-4006A</t>
  </si>
  <si>
    <t>1"-B1E-MR-4007A</t>
  </si>
  <si>
    <t>1"-B1E-MR-4008A</t>
  </si>
  <si>
    <t>1"-B1E-MR-4009A</t>
  </si>
  <si>
    <t>1"-B3B-LO-5002A</t>
  </si>
  <si>
    <t>1"-B3B-LO-5003A</t>
  </si>
  <si>
    <t>1"-B3B-LO-5004A</t>
  </si>
  <si>
    <t>1"-B3B-LPG-LIT-7301A</t>
  </si>
  <si>
    <t>1"-B3B-LPG-LIT-7301B</t>
  </si>
  <si>
    <t>1"-D1E-LPG-4305A-C-3"</t>
  </si>
  <si>
    <t>1"-D1E-LPG-4308A-C-3"</t>
  </si>
  <si>
    <t>1"-D1E-NG-4001A</t>
  </si>
  <si>
    <t>1"-D3B-NG-3105A</t>
  </si>
  <si>
    <t>1.1/2"-A3B-CWR-0609</t>
  </si>
  <si>
    <t>1.1/2"-A3B-CWS-0601</t>
  </si>
  <si>
    <t>1/2"-A3B-CWS-0607</t>
  </si>
  <si>
    <t>1/2"-A3B-CWS-0608</t>
  </si>
  <si>
    <t>10"-A3B-HF-9301</t>
  </si>
  <si>
    <t>10"-A3B-HF-9401</t>
  </si>
  <si>
    <t>10"-B3B-MR-5203A-PP-2"</t>
  </si>
  <si>
    <t>10"-B3B-MR-5203B-PP-2"</t>
  </si>
  <si>
    <t>16"-B3B-MR-5001A</t>
  </si>
  <si>
    <t>16"-B3B-MR-5002A</t>
  </si>
  <si>
    <t>2"-A1E-BOG-7001A-C-2"</t>
  </si>
  <si>
    <t>2"-A1E-BOG-7002A-C-2"</t>
  </si>
  <si>
    <t>2"-A1E-BOG-7003B-C-2"</t>
  </si>
  <si>
    <t>2"-A1E-BOG-7004B-C-2"</t>
  </si>
  <si>
    <t>2"-A1E-BOG-7005C-C-2"</t>
  </si>
  <si>
    <t>2"-A1E-BOG-7006A-C-3"</t>
  </si>
  <si>
    <t>2"-A1E-BOG-7006C-C-2"</t>
  </si>
  <si>
    <t>2"-A1E-BOG-7007A-C-3"</t>
  </si>
  <si>
    <t>2"-A1E-BOG-7008B-C-3"</t>
  </si>
  <si>
    <t>2"-A1E-BOG-7009B-C-3"</t>
  </si>
  <si>
    <t>2"-A1E-BOG-7010C-C-3"</t>
  </si>
  <si>
    <t>2"-A1E-BOG-7011C-C-3"</t>
  </si>
  <si>
    <t>2"-A1E-BOG-7205B</t>
  </si>
  <si>
    <t>2"-A1E-CF-4007A</t>
  </si>
  <si>
    <t>2"-A1E-CF-7201</t>
  </si>
  <si>
    <t>2"-A3B-WW-9401</t>
  </si>
  <si>
    <t>2"-A3B-WW-9402</t>
  </si>
  <si>
    <t>2"-A3B-WW-LIT9401A</t>
  </si>
  <si>
    <t>2"-A3B-WW-LIT9401B</t>
  </si>
  <si>
    <t>2"-B1E-MR-4010A</t>
  </si>
  <si>
    <t>2"-B3B-LPG-1001</t>
  </si>
  <si>
    <t>2"-B3B-LPG-7302</t>
  </si>
  <si>
    <t>2"-B3B-LPG-LIT-7301A</t>
  </si>
  <si>
    <t>2"-B3B-LPG-LIT-7301B</t>
  </si>
  <si>
    <t>2"-B3B-NG-0305</t>
  </si>
  <si>
    <t>2"-B3B-NG-7301</t>
  </si>
  <si>
    <t>2"-B3B-WW-7302</t>
  </si>
  <si>
    <t>2"-D1E-LPG-4002A-C-3"</t>
  </si>
  <si>
    <t>24"-B1E-MR-4012A</t>
  </si>
  <si>
    <t>24"-B1E-MR-5003A</t>
  </si>
  <si>
    <t>3"-A1E-BOG-7101A-C-3"</t>
  </si>
  <si>
    <t>3"-A1E-BOG-7101B-C-3"</t>
  </si>
  <si>
    <t>3"-A1E-CF-4102</t>
  </si>
  <si>
    <t>3"-A1E-CF-7108A</t>
  </si>
  <si>
    <t>3"-A1E-CF-7108B</t>
  </si>
  <si>
    <t>3"-A3B-FG-8105</t>
  </si>
  <si>
    <t>3"-A3B-HM-8201-H-3"</t>
  </si>
  <si>
    <t>3"-A3B-NG-7401</t>
  </si>
  <si>
    <t>3"-B3B-MR-5305B</t>
  </si>
  <si>
    <t>3"-B3B-MR-5505A</t>
  </si>
  <si>
    <t>3/4"-A3B-CWS-0603</t>
  </si>
  <si>
    <t>3/4"-A3B-CWS-0604</t>
  </si>
  <si>
    <t>3/4"-A3B-CWS-0605</t>
  </si>
  <si>
    <t>4"-A3B-BOG-7204</t>
  </si>
  <si>
    <t>4"-A3B-HF-4006A</t>
  </si>
  <si>
    <t>4"-A3B-HF-5001A</t>
  </si>
  <si>
    <t>4"-A3B-HF-5007A</t>
  </si>
  <si>
    <t>4"-A3B-HF-7401</t>
  </si>
  <si>
    <t>4"-B3B-MR-5511A</t>
  </si>
  <si>
    <t>4"-B3B-MR-5511B</t>
  </si>
  <si>
    <t>6"-A1E-CF-4004A</t>
  </si>
  <si>
    <t>6"-A3B-HF-0404A</t>
  </si>
  <si>
    <t>6"-A3B-HF-0404B</t>
  </si>
  <si>
    <t>6"-A3B-HF-4002A</t>
  </si>
  <si>
    <t>6"-A3B-HF-5503A</t>
  </si>
  <si>
    <t>6"-A3B-HF-5503B</t>
  </si>
  <si>
    <t>6"-B1E-MR-4001A-C-3"</t>
  </si>
  <si>
    <t>6"-B1E-MR-4003A-C-4"</t>
  </si>
  <si>
    <t>6"-B3B-MR-4018A</t>
  </si>
  <si>
    <t>6"-B3B-MR-5503A</t>
  </si>
  <si>
    <t>6"-B3B-MR-5503B</t>
  </si>
  <si>
    <t>6"-D1E-NG-4301A-C-3"</t>
  </si>
  <si>
    <t>6"-D3B-NG-0407A</t>
  </si>
  <si>
    <t>6"-D3B-NG-0407B</t>
  </si>
  <si>
    <t>8"-A1E-CF-9201</t>
  </si>
  <si>
    <t>8"-A3B-CF-9202</t>
  </si>
  <si>
    <t>8"-A3B-HF-5105A</t>
  </si>
  <si>
    <t>8"-A3B-HF-5105B</t>
  </si>
  <si>
    <t>8"-B3B-MR-4019A</t>
  </si>
  <si>
    <t>8"-B3B-NG-0301</t>
  </si>
  <si>
    <t>V-941-TRIM-2</t>
  </si>
  <si>
    <t>V-941-TRIM-3</t>
  </si>
  <si>
    <t>1"-A1E-IA-9010A</t>
  </si>
  <si>
    <t>1"-A1E-IA-9010B</t>
  </si>
  <si>
    <t>1"-A3B-CWR-0611</t>
  </si>
  <si>
    <t>1"-A3B-N2-9105A</t>
  </si>
  <si>
    <t>1"-A3B-N2-9106A</t>
  </si>
  <si>
    <t>1"-A3B-N2-9109</t>
  </si>
  <si>
    <t>1"-A3B-N2-9114</t>
  </si>
  <si>
    <t>1"-A3B-N2-9116</t>
  </si>
  <si>
    <t>1"-B3B-N2-5101A</t>
  </si>
  <si>
    <t>1"-B3B-N2-5101B</t>
  </si>
  <si>
    <t>1"-B3B-N2-5304A</t>
  </si>
  <si>
    <t>1"-B3B-N2-5304B</t>
  </si>
  <si>
    <t>2"-A1E-CF-4104</t>
  </si>
  <si>
    <t>2"-A1E-IA-9709</t>
  </si>
  <si>
    <t>2"-A3B-N2-9719</t>
  </si>
  <si>
    <t>3"-A1E-BOG-7204A-C-2"</t>
  </si>
  <si>
    <t>3"-A3B-HM-3103-H-3"</t>
  </si>
  <si>
    <t>6"-B3B-NG-0304A</t>
  </si>
  <si>
    <t>6"-B3B-NG-0304B</t>
  </si>
  <si>
    <t>6"-D3B-NG-0407C</t>
  </si>
  <si>
    <t>6"-D3B-NG-3104A</t>
  </si>
  <si>
    <t>8"-A3B-HF-0307</t>
  </si>
  <si>
    <t>8"-A3B-HF-3104</t>
  </si>
  <si>
    <t>8"-B3B-NG-0304</t>
  </si>
  <si>
    <t>4''-B3B-LO-5325B-PP-2''</t>
  </si>
  <si>
    <t>4''-B3B-LO-5113B-PP-2''</t>
  </si>
  <si>
    <t>4''-B3B-LO-5309B-PP-2''</t>
  </si>
  <si>
    <t>4''-B3B-LO-5325A-PP-2''</t>
  </si>
  <si>
    <t>4''-B3B-LO-5309A-PP-2''</t>
  </si>
  <si>
    <t>4''-B3B-LO-5119B-PP-2''</t>
  </si>
  <si>
    <t>4''-B3B-LO-5119A-PP-2''</t>
  </si>
  <si>
    <t>4''-B3B-LO-5113A-PP-2''</t>
  </si>
  <si>
    <t>6"-D3B-NG-2001</t>
  </si>
  <si>
    <t>1.1/2"-A1E-IA-9003</t>
  </si>
  <si>
    <t>1.1/2"-A1E-IA-9002</t>
  </si>
  <si>
    <t>6''-B3B-MR-5407B-PP-2''</t>
  </si>
  <si>
    <t>6''-B3B-MR-5405B-PP-2''</t>
  </si>
  <si>
    <t>V-713-TRIM-1</t>
  </si>
  <si>
    <t>V-941-TRIM-1</t>
  </si>
  <si>
    <t>1-1/2"-A3B-HF-9502</t>
  </si>
  <si>
    <t>1.1/2"-A1E-IA-9001</t>
  </si>
  <si>
    <t>10''-B3B-LO-5103B-PP-2''</t>
  </si>
  <si>
    <t>10''-B3B-MR-5201B-2''</t>
  </si>
  <si>
    <t>10''-B3B-LO-5103A-PP-2''</t>
  </si>
  <si>
    <t>6''-B3B-MR-5407A-PP-2''</t>
  </si>
  <si>
    <t>6''-B3B-MR-5405A-PP-2''</t>
  </si>
  <si>
    <t>6"-A3B-HF-7301</t>
  </si>
  <si>
    <t>8"-B3B-NG--0304</t>
  </si>
  <si>
    <t>8"-B3B-NG--0301</t>
  </si>
  <si>
    <t>6''-D3B-NG-1003</t>
  </si>
  <si>
    <t>10''-B3B-LO-5103A-2''</t>
  </si>
  <si>
    <t>6"-D3B-NG-1003</t>
  </si>
  <si>
    <t>6"-A3B-HM-8202-H-3''</t>
  </si>
  <si>
    <t>10''-B3B-LO-5103B-2''</t>
  </si>
  <si>
    <t>8"-A3B-HF-3005</t>
  </si>
  <si>
    <t>6"-A3B-HM-2205-H-3''</t>
  </si>
  <si>
    <t>2"-A1E-IA-9011</t>
  </si>
  <si>
    <t>1"-A3B-HF-9505</t>
  </si>
  <si>
    <t>1"-A3B-HF-9504</t>
  </si>
  <si>
    <t>1"-A1E-IA-9005</t>
  </si>
  <si>
    <t>1''-A3B-WW-1003</t>
  </si>
  <si>
    <t>1"-A1E-IA-9007</t>
  </si>
  <si>
    <t>1''-B3B-MR-521/2A-C</t>
  </si>
  <si>
    <t>1"-A3B-WW-3005M</t>
  </si>
  <si>
    <t>1"-A1E-IA-9006</t>
  </si>
  <si>
    <t>1"-A1E-IA-9008</t>
  </si>
  <si>
    <t>1''-B3B-MR-5211A-C</t>
  </si>
  <si>
    <t>1"-A3B-WW-2003</t>
  </si>
  <si>
    <t>3"-A1E-BOG-7009-C-2"</t>
  </si>
  <si>
    <t>1"-A3B-WW-2003M</t>
  </si>
  <si>
    <t>1"-D3B-N2-9102</t>
  </si>
  <si>
    <t>1"-A3B-HF-9503</t>
  </si>
  <si>
    <t>2"-A3B-WW-9501M</t>
  </si>
  <si>
    <t>2"-A3B-HF-9501</t>
  </si>
  <si>
    <t>2"-A3B-WW-9501</t>
  </si>
  <si>
    <t>2"-A1E-IA-9004</t>
  </si>
  <si>
    <t>2"-B1E-LPG-4306A</t>
  </si>
  <si>
    <t>2''-B3B-LO-51/27A-PP-2''</t>
  </si>
  <si>
    <t>3"-A3B-HM-3103-H-3''</t>
  </si>
  <si>
    <t>3"-A3B-HM-8201-H-3''</t>
  </si>
  <si>
    <t>ITEM</t>
  </si>
  <si>
    <t>SKID</t>
  </si>
  <si>
    <t>CWA</t>
  </si>
  <si>
    <t>WASHING TOWER SKID A</t>
  </si>
  <si>
    <t>CWP 3.1 - LIQUEFACTION</t>
  </si>
  <si>
    <t>COMPRESSOR</t>
  </si>
  <si>
    <t>CWP 1.1 - INLET GAS</t>
  </si>
  <si>
    <t>COLD BOX A</t>
  </si>
  <si>
    <t>PIPERACK / MR LP COMPRESSOR SKID A</t>
  </si>
  <si>
    <t>MR ACCUMULATION TANKS SKID</t>
  </si>
  <si>
    <t>MIXED HYDROCARBON TANK</t>
  </si>
  <si>
    <t>CWP 2.1 - PRÉ-TREATMENT</t>
  </si>
  <si>
    <t>PIPE RACK / DISCHARGE SEPARATION TANK</t>
  </si>
  <si>
    <t>PIPE RACK / MR LP COMPRESSOR SKID B</t>
  </si>
  <si>
    <t>PIPE RACK / MR HP COMPRESSOR SKID A</t>
  </si>
  <si>
    <t>LNG TANK A</t>
  </si>
  <si>
    <t>CWP 4.1 - STORAGE TANKS</t>
  </si>
  <si>
    <t>LNG TANK B</t>
  </si>
  <si>
    <t>LNG TANK C</t>
  </si>
  <si>
    <t>LNG TANK D</t>
  </si>
  <si>
    <t>LNG TANK E</t>
  </si>
  <si>
    <t>LNG TANK F</t>
  </si>
  <si>
    <t>PIPE RACK</t>
  </si>
  <si>
    <t>CWP 7.1 LOADING AREA</t>
  </si>
  <si>
    <t>DEACIDIFICATION A</t>
  </si>
  <si>
    <t>LNG PUMP SKID A</t>
  </si>
  <si>
    <t>LNG PUMP SKID B</t>
  </si>
  <si>
    <t>HOT OIL</t>
  </si>
  <si>
    <t>DEHYDRATION C</t>
  </si>
  <si>
    <t>PIPE RACK / MR HP COMPRESSOR SKID B</t>
  </si>
  <si>
    <t>EAG HEATER / DISCHARGE SEPARATION TANK</t>
  </si>
  <si>
    <t>DEACIDIFICATION B</t>
  </si>
  <si>
    <t>INSTRUMENT AIR SKID</t>
  </si>
  <si>
    <t>CWP 5.1 - E-HOUSES AREA</t>
  </si>
  <si>
    <t>CWP</t>
  </si>
  <si>
    <t>EAG HEATER / PIPE RACK</t>
  </si>
  <si>
    <t>DEHYDRATION D</t>
  </si>
  <si>
    <t>LNG PUMP SKID C</t>
  </si>
  <si>
    <t>BOG VAPORIZER</t>
  </si>
  <si>
    <t>LOTE</t>
  </si>
  <si>
    <t>FABRICAÇÃO ( Juntas )</t>
  </si>
  <si>
    <t>Rótulos de Linha</t>
  </si>
  <si>
    <t>Total Geral</t>
  </si>
  <si>
    <t>DATA DE ENTREGA NO SITE PARA MONTAGEM</t>
  </si>
  <si>
    <t>1º</t>
  </si>
  <si>
    <t>FABRICAÇÃO ( KG )</t>
  </si>
  <si>
    <t>Soma de FABRICAÇÃO ( KG )</t>
  </si>
  <si>
    <t>DATA MILPLAN CORRENTE SEMANA 44</t>
  </si>
  <si>
    <t>DATA NECESSIDADE INTERNA PARA PROPONENTE</t>
  </si>
  <si>
    <t>2º</t>
  </si>
  <si>
    <t>3º</t>
  </si>
  <si>
    <t>4º</t>
  </si>
  <si>
    <t>DATA</t>
  </si>
  <si>
    <t>15/set</t>
  </si>
  <si>
    <t>Rótulos de Coluna</t>
  </si>
  <si>
    <t>Início</t>
  </si>
  <si>
    <t>Término</t>
  </si>
  <si>
    <t>TOTAL</t>
  </si>
  <si>
    <t>AJUDANTE DE PRODUCAO</t>
  </si>
  <si>
    <t>LIXADOR(A)</t>
  </si>
  <si>
    <t>MACARIQUEIRO(A)</t>
  </si>
  <si>
    <t>SOLDADOR(A) ER</t>
  </si>
  <si>
    <t>SOLDADOR(A) TIG/ER</t>
  </si>
  <si>
    <t>ENCANADOR(A) INDUSTRIAL</t>
  </si>
  <si>
    <t>ENCARREGADO(A) DE SOLDA</t>
  </si>
  <si>
    <t>ENCARREGADO(A) DE TUBULACAO</t>
  </si>
  <si>
    <t>Sem 9</t>
  </si>
  <si>
    <t>Sem 8</t>
  </si>
  <si>
    <t>Sem 7</t>
  </si>
  <si>
    <t>Sem 6</t>
  </si>
  <si>
    <t>Sem 5</t>
  </si>
  <si>
    <t>Sem 4</t>
  </si>
  <si>
    <t>Sem 3</t>
  </si>
  <si>
    <t>Sem 2</t>
  </si>
  <si>
    <t>Sem 1</t>
  </si>
  <si>
    <t>Coeficiente</t>
  </si>
  <si>
    <t>%</t>
  </si>
  <si>
    <t>Descrição</t>
  </si>
  <si>
    <t>Toal de Hh</t>
  </si>
  <si>
    <t>Peso Total</t>
  </si>
  <si>
    <t>AÇO CARBONO  | INOX 304/304L</t>
  </si>
  <si>
    <t>Ton. Sem.</t>
  </si>
  <si>
    <t>IND. MED. PRODUT. Hh/t</t>
  </si>
  <si>
    <t>TOTAL Hh</t>
  </si>
  <si>
    <t>PESO (ton)</t>
  </si>
  <si>
    <t>DESCRIÇÃO MAT.</t>
  </si>
  <si>
    <t>TUBO</t>
  </si>
  <si>
    <t>RESUMO DA FABRICAÇÃO DE TUBULAÇÃO</t>
  </si>
  <si>
    <t>Nome da Tarefa</t>
  </si>
  <si>
    <t>Duração</t>
  </si>
  <si>
    <t>Predecessoras</t>
  </si>
  <si>
    <t>HOOK UP FABRICAÇÃO</t>
  </si>
  <si>
    <t>43 dias</t>
  </si>
  <si>
    <t xml:space="preserve">   Assinatura do Contrato / Kick Ok</t>
  </si>
  <si>
    <t>0 dias</t>
  </si>
  <si>
    <t xml:space="preserve">   Mobilização</t>
  </si>
  <si>
    <t>15 dias</t>
  </si>
  <si>
    <t xml:space="preserve">   Retirada do Material e Deslocamento ate o local de fabricação</t>
  </si>
  <si>
    <t>3 dias</t>
  </si>
  <si>
    <t>3II+1 dia</t>
  </si>
  <si>
    <t xml:space="preserve">   1º Lote</t>
  </si>
  <si>
    <t>12 dias</t>
  </si>
  <si>
    <t xml:space="preserve">      Spoletamento 1ºLote</t>
  </si>
  <si>
    <t>5 dias</t>
  </si>
  <si>
    <t>3II+5 dias</t>
  </si>
  <si>
    <t xml:space="preserve">      Fabricação 1º Lote</t>
  </si>
  <si>
    <t>8 dias</t>
  </si>
  <si>
    <t>6II+3 dias</t>
  </si>
  <si>
    <t xml:space="preserve">      Entrega no SITE 1º Lote</t>
  </si>
  <si>
    <t>1 dia</t>
  </si>
  <si>
    <t xml:space="preserve">   2º Lote</t>
  </si>
  <si>
    <t>17 dias</t>
  </si>
  <si>
    <t xml:space="preserve">      Spoletamento 2º Lote</t>
  </si>
  <si>
    <t xml:space="preserve">      Fabricação 2º Lote</t>
  </si>
  <si>
    <t>13 dias</t>
  </si>
  <si>
    <t>10II+3 dias</t>
  </si>
  <si>
    <t xml:space="preserve">      Entrega no SITE 2º Lote</t>
  </si>
  <si>
    <t xml:space="preserve">   3º Lote</t>
  </si>
  <si>
    <t>23 dias</t>
  </si>
  <si>
    <t xml:space="preserve">      Spoletamento 3º Lote</t>
  </si>
  <si>
    <t xml:space="preserve">      Fabricação 3º Lote</t>
  </si>
  <si>
    <t>19 dias</t>
  </si>
  <si>
    <t>14II+3 dias</t>
  </si>
  <si>
    <t xml:space="preserve">      Entrega no SITE 3º Lote</t>
  </si>
  <si>
    <t xml:space="preserve">   4º Lote</t>
  </si>
  <si>
    <t xml:space="preserve">      Spoletamento 4º Lote</t>
  </si>
  <si>
    <t>10 dias</t>
  </si>
  <si>
    <t>15TT+5 dias;18</t>
  </si>
  <si>
    <t xml:space="preserve">      Entrega no SITE 4º Lote</t>
  </si>
  <si>
    <t>17/ago</t>
  </si>
  <si>
    <t>31/ago</t>
  </si>
  <si>
    <t>22/set</t>
  </si>
  <si>
    <t>EDT</t>
  </si>
  <si>
    <t>Modo da Tarefa</t>
  </si>
  <si>
    <t>% concluída</t>
  </si>
  <si>
    <t>Agendada Manualmente</t>
  </si>
  <si>
    <t>CRONOGRAMA BRASNAVAL</t>
  </si>
  <si>
    <t>52 dias</t>
  </si>
  <si>
    <t>1.1</t>
  </si>
  <si>
    <t>1.1.1</t>
  </si>
  <si>
    <t>Agendada Automaticamente</t>
  </si>
  <si>
    <t>1.1.2</t>
  </si>
  <si>
    <t>4 dias</t>
  </si>
  <si>
    <t>1.1.3</t>
  </si>
  <si>
    <t>45 dias</t>
  </si>
  <si>
    <t>1.1.3.1</t>
  </si>
  <si>
    <t>11 dias</t>
  </si>
  <si>
    <t>1.1.4</t>
  </si>
  <si>
    <t>2 dias</t>
  </si>
  <si>
    <t>2.8</t>
  </si>
  <si>
    <t>2.8.2</t>
  </si>
  <si>
    <t>2.8.3</t>
  </si>
  <si>
    <t>2.8.4</t>
  </si>
  <si>
    <t>2.8.5</t>
  </si>
  <si>
    <t>2.8.6</t>
  </si>
  <si>
    <t>2.8.7</t>
  </si>
  <si>
    <t>2.8.8</t>
  </si>
  <si>
    <t>2.8.9</t>
  </si>
  <si>
    <t>2.8.10</t>
  </si>
  <si>
    <t>2.8.11</t>
  </si>
  <si>
    <t>2.8.12</t>
  </si>
  <si>
    <t>2.8.13</t>
  </si>
  <si>
    <t>2.8.14</t>
  </si>
  <si>
    <t>2.8.15</t>
  </si>
  <si>
    <t>2.8.16</t>
  </si>
  <si>
    <t>2.8.17</t>
  </si>
  <si>
    <t>2.8.18</t>
  </si>
  <si>
    <t>2.8.19</t>
  </si>
  <si>
    <t>2.8.20</t>
  </si>
  <si>
    <t>2.8.21</t>
  </si>
  <si>
    <t>2.8.22</t>
  </si>
  <si>
    <t>2.8.23</t>
  </si>
  <si>
    <t>2.8.23.8</t>
  </si>
  <si>
    <t>2.8.23.9</t>
  </si>
  <si>
    <t>2.8.24</t>
  </si>
  <si>
    <t>2.8.25</t>
  </si>
  <si>
    <t>2.8.26</t>
  </si>
  <si>
    <t>2.8.27</t>
  </si>
  <si>
    <t>Fabricação lote 2</t>
  </si>
  <si>
    <t>3.1</t>
  </si>
  <si>
    <t>4.8</t>
  </si>
  <si>
    <t>4.8.8</t>
  </si>
  <si>
    <t>4.8.9</t>
  </si>
  <si>
    <t>4.8.10</t>
  </si>
  <si>
    <t>4.8.11</t>
  </si>
  <si>
    <t>4.8.12</t>
  </si>
  <si>
    <t>4.8.13</t>
  </si>
  <si>
    <t>4.8.14</t>
  </si>
  <si>
    <t>4.8.15</t>
  </si>
  <si>
    <t>4.8.16</t>
  </si>
  <si>
    <t>4.8.17</t>
  </si>
  <si>
    <t>4.8.18</t>
  </si>
  <si>
    <t>4.8.19</t>
  </si>
  <si>
    <t>4.8.20</t>
  </si>
  <si>
    <t>4.8.21</t>
  </si>
  <si>
    <t>4.8.22</t>
  </si>
  <si>
    <t>4.8.23</t>
  </si>
  <si>
    <t>4.8.24</t>
  </si>
  <si>
    <t>4.8.25</t>
  </si>
  <si>
    <t>4.8.26</t>
  </si>
  <si>
    <t>4.8.27</t>
  </si>
  <si>
    <t>4.8.28</t>
  </si>
  <si>
    <t>4.8.29</t>
  </si>
  <si>
    <t>4.8.30</t>
  </si>
  <si>
    <t>4.8.31</t>
  </si>
  <si>
    <t>4.8.32</t>
  </si>
  <si>
    <t>4.8.33</t>
  </si>
  <si>
    <t>4.8.34</t>
  </si>
  <si>
    <t>4.8.35</t>
  </si>
  <si>
    <t>4.8.36</t>
  </si>
  <si>
    <t>4.8.37</t>
  </si>
  <si>
    <t>4.8.38</t>
  </si>
  <si>
    <t>4.8.39</t>
  </si>
  <si>
    <t>4.8.40</t>
  </si>
  <si>
    <t>4.8.41</t>
  </si>
  <si>
    <t>4.8.42</t>
  </si>
  <si>
    <t>4.8.43</t>
  </si>
  <si>
    <t>4.8.44</t>
  </si>
  <si>
    <t>4.8.45</t>
  </si>
  <si>
    <t>4.8.46</t>
  </si>
  <si>
    <t>4.8.47</t>
  </si>
  <si>
    <t>4.8.48</t>
  </si>
  <si>
    <t>4.8.49</t>
  </si>
  <si>
    <t>14 dias</t>
  </si>
  <si>
    <t>4.8.49.1</t>
  </si>
  <si>
    <t>4.8.49.1.8</t>
  </si>
  <si>
    <t>4.8.49.1.9</t>
  </si>
  <si>
    <t>4.8.49.1.10</t>
  </si>
  <si>
    <t>4.8.49.1.11</t>
  </si>
  <si>
    <t>4.8.49.1.12</t>
  </si>
  <si>
    <t>4.8.49.1.13</t>
  </si>
  <si>
    <t>4.8.49.1.14</t>
  </si>
  <si>
    <t>4.8.49.1.15</t>
  </si>
  <si>
    <t>4.8.49.1.16</t>
  </si>
  <si>
    <t>4.8.49.1.17</t>
  </si>
  <si>
    <t>4.8.49.1.18</t>
  </si>
  <si>
    <t>4.8.49.1.19</t>
  </si>
  <si>
    <t>4.8.49.1.20</t>
  </si>
  <si>
    <t>4.8.49.1.21</t>
  </si>
  <si>
    <t>4.8.49.1.22</t>
  </si>
  <si>
    <t>4.8.49.1.23</t>
  </si>
  <si>
    <t>4.8.49.1.24</t>
  </si>
  <si>
    <t>4.8.49.1.25</t>
  </si>
  <si>
    <t>4.8.49.1.26</t>
  </si>
  <si>
    <t>4.8.49.1.27</t>
  </si>
  <si>
    <t>4.8.49.1.28</t>
  </si>
  <si>
    <t>4.8.49.1.29</t>
  </si>
  <si>
    <t>4.8.49.1.30</t>
  </si>
  <si>
    <t>4.8.49.1.31</t>
  </si>
  <si>
    <t>4.8.49.1.32</t>
  </si>
  <si>
    <t>4.8.49.1.33</t>
  </si>
  <si>
    <t>4.8.49.1.34</t>
  </si>
  <si>
    <t>4.8.49.1.35</t>
  </si>
  <si>
    <t>4.8.49.1.36</t>
  </si>
  <si>
    <t>4.8.49.1.37</t>
  </si>
  <si>
    <t>4.8.49.1.38</t>
  </si>
  <si>
    <t>4.8.49.1.39</t>
  </si>
  <si>
    <t>4.8.49.1.40</t>
  </si>
  <si>
    <t>4.8.49.1.41</t>
  </si>
  <si>
    <t>4.8.49.1.42</t>
  </si>
  <si>
    <t>4.8.49.1.43</t>
  </si>
  <si>
    <t>4.8.49.1.44</t>
  </si>
  <si>
    <t>4.8.49.1.45</t>
  </si>
  <si>
    <t>4.8.49.1.46</t>
  </si>
  <si>
    <t>4.8.49.1.47</t>
  </si>
  <si>
    <t>4.8.49.1.48</t>
  </si>
  <si>
    <t>4.8.49.1.49</t>
  </si>
  <si>
    <t>4.8.49.1.50</t>
  </si>
  <si>
    <t>4.8.49.1.51</t>
  </si>
  <si>
    <t>4.8.49.1.52</t>
  </si>
  <si>
    <t>4.8.49.1.53</t>
  </si>
  <si>
    <t>4.8.49.1.54</t>
  </si>
  <si>
    <t>4.8.49.1.55</t>
  </si>
  <si>
    <t>4.8.49.1.56</t>
  </si>
  <si>
    <t>4.8.49.1.57</t>
  </si>
  <si>
    <t>4.8.49.1.58</t>
  </si>
  <si>
    <t>4.8.49.1.59</t>
  </si>
  <si>
    <t>4.8.49.1.60</t>
  </si>
  <si>
    <t>4.8.49.1.61</t>
  </si>
  <si>
    <t>4.8.49.1.62</t>
  </si>
  <si>
    <t>4.8.49.1.63</t>
  </si>
  <si>
    <t>4.8.49.1.64</t>
  </si>
  <si>
    <t>4.8.49.1.65</t>
  </si>
  <si>
    <t>4.8.49.1.66</t>
  </si>
  <si>
    <t>4.8.49.1.67</t>
  </si>
  <si>
    <t>4.8.49.1.68</t>
  </si>
  <si>
    <t>4.8.49.1.69</t>
  </si>
  <si>
    <t>4.8.49.1.70</t>
  </si>
  <si>
    <t>4.8.49.1.71</t>
  </si>
  <si>
    <t>4.8.49.1.72</t>
  </si>
  <si>
    <t>4.8.49.1.73</t>
  </si>
  <si>
    <t>4.8.49.1.74</t>
  </si>
  <si>
    <t>4.8.49.1.75</t>
  </si>
  <si>
    <t>4.8.49.1.76</t>
  </si>
  <si>
    <t>4.8.49.1.77</t>
  </si>
  <si>
    <t>4.8.49.1.78</t>
  </si>
  <si>
    <t>4.8.49.1.79</t>
  </si>
  <si>
    <t>4.8.49.1.80</t>
  </si>
  <si>
    <t>4.8.49.1.81</t>
  </si>
  <si>
    <t>4.8.49.1.82</t>
  </si>
  <si>
    <t>4.8.49.1.83</t>
  </si>
  <si>
    <t>4.8.50</t>
  </si>
  <si>
    <t>7 dias</t>
  </si>
  <si>
    <t>4.8.50.1</t>
  </si>
  <si>
    <t>4.8.50.2</t>
  </si>
  <si>
    <t>4.8.50.3</t>
  </si>
  <si>
    <t>4.8.50.4</t>
  </si>
  <si>
    <t>4.8.50.5</t>
  </si>
  <si>
    <t>4.8.50.6</t>
  </si>
  <si>
    <t>4.8.50.7</t>
  </si>
  <si>
    <t>4.8.50.8</t>
  </si>
  <si>
    <t>4.8.50.9</t>
  </si>
  <si>
    <t>4.8.50.10</t>
  </si>
  <si>
    <t>4.8.50.11</t>
  </si>
  <si>
    <t>4.8.50.12</t>
  </si>
  <si>
    <t>4.8.50.13</t>
  </si>
  <si>
    <t>4.8.50.14</t>
  </si>
  <si>
    <t>4.8.50.15</t>
  </si>
  <si>
    <t>4.8.50.16</t>
  </si>
  <si>
    <t>4.8.50.17</t>
  </si>
  <si>
    <t>4.8.50.18</t>
  </si>
  <si>
    <t>4.8.50.19</t>
  </si>
  <si>
    <t>4.8.50.20</t>
  </si>
  <si>
    <t>4.8.50.21</t>
  </si>
  <si>
    <t>4.8.50.22</t>
  </si>
  <si>
    <t>4.8.50.23</t>
  </si>
  <si>
    <t>4.8.50.24</t>
  </si>
  <si>
    <t>4.8.50.25</t>
  </si>
  <si>
    <t>4.8.50.26</t>
  </si>
  <si>
    <t>CRONOGRAMA 21/08/2026</t>
  </si>
  <si>
    <t>MATÉRIA PRIMA</t>
  </si>
  <si>
    <t>Recebimento da matéria prima</t>
  </si>
  <si>
    <t>Conferência do material</t>
  </si>
  <si>
    <t>Fabricação dos lote 1-2-3 e 4</t>
  </si>
  <si>
    <t>Fabricação lote 1</t>
  </si>
  <si>
    <t>Fabricação lote 3</t>
  </si>
  <si>
    <t>Fabricação lote 4</t>
  </si>
  <si>
    <t>TESTE ESCOPO</t>
  </si>
  <si>
    <t>STATUS DE FABRICAÇÃO</t>
  </si>
  <si>
    <t>DATA DE TÉRMINO CRONOGRAMA</t>
  </si>
  <si>
    <t>TESTE SE A DATA ATENDE A NECESSIDADE</t>
  </si>
  <si>
    <t>DATA MAXIMA POR LOTE NO CRONOGRAMA</t>
  </si>
  <si>
    <t>DATA MAXIMA POR LOTE PREVISTO LB</t>
  </si>
  <si>
    <t>PERCENTUAL DE AVANÇO REAL PONDERADO PELO PESO ACUM.</t>
  </si>
  <si>
    <t>CALCULO DO AVANÇO PREVISTO</t>
  </si>
  <si>
    <t>DATA REAL RECEBIMENTO SITE</t>
  </si>
  <si>
    <t>INFO INCOERENTE</t>
  </si>
  <si>
    <t>VERIFICAÇÃO DA INFO</t>
  </si>
  <si>
    <t>1º Lote (1A) – Entrega dia 20/08 no site</t>
  </si>
  <si>
    <t>"1""-B1E-MR-4008A"– Fornecido 22/08</t>
  </si>
  <si>
    <t>"1""-B1E-MR-4009A"– Fornecido 22/08</t>
  </si>
  <si>
    <t>"1""-B3B-LO-5003A"– Fornecido 22/08</t>
  </si>
  <si>
    <t>"1""-D1E-LPG-4305A-C-3"""– Fornecido 22/08</t>
  </si>
  <si>
    <t>"1""-D1E-LPG-4308A-C-3"""– Fornecido 22/08</t>
  </si>
  <si>
    <t>"1""-D1E-NG-4001A"– Fornecido 22/08</t>
  </si>
  <si>
    <t>"1""-D3B-NG-3105A"– Não fornecido</t>
  </si>
  <si>
    <t>"2""-A1E-CF-4007A"– Fornecido 22/08</t>
  </si>
  <si>
    <t>"2""-B1E-MR-4010A"– Não fornecido</t>
  </si>
  <si>
    <t>"2""-D1E-LPG-4002A-C-3"""– Fornecido 22/08</t>
  </si>
  <si>
    <t>1º Lote (1B)  - Entrega dia 20/08 no site</t>
  </si>
  <si>
    <t>"24""-B1E-MR-4012A" – Não fornecido</t>
  </si>
  <si>
    <t>"24""-B1E-MR-5003A"– Não fornecido</t>
  </si>
  <si>
    <t>"3""-A1E-CF-4102"– Não fornecido</t>
  </si>
  <si>
    <t>"4""-A3B-HF-4006A"– Não fornecido</t>
  </si>
  <si>
    <t>"4""-A3B-HF-5001A"– Não fornecido</t>
  </si>
  <si>
    <t>"4""-A3B-HF-5007A"– Não fornecido</t>
  </si>
  <si>
    <t>"6""-A1E-CF-4004A"– Não fornecido</t>
  </si>
  <si>
    <t>"6""-A3B-HF-4002A"– Não fornecido</t>
  </si>
  <si>
    <t>"6""-B1E-MR-4001A-C-3"""– Não fornecido</t>
  </si>
  <si>
    <t>"6""-B1E-MR-4003A-C-4"""– Não fornecido</t>
  </si>
  <si>
    <t>"6""-B3B-MR-4018A"– Não fornecido</t>
  </si>
  <si>
    <t>"6""-D1E-NG-4301A-C-3"""– Não fornecido</t>
  </si>
  <si>
    <t>"8""-B3B-MR-4019A"– Não fornecido</t>
  </si>
  <si>
    <t>"1""-A3B-N2-9105A"– Não fornecido</t>
  </si>
  <si>
    <t>"2""-A1E-CF-4104"– Não fornecido</t>
  </si>
  <si>
    <t>"6""-D3B-NG-3104A"– Não fornecido</t>
  </si>
  <si>
    <t>"2""-A1E-IA-9011"– Não fornecido</t>
  </si>
  <si>
    <t>1""-A1E-CF-4310A" – Fornecido 22/08</t>
  </si>
  <si>
    <t>1""-B1E-MR-4005A"– Fornecido 22/08</t>
  </si>
  <si>
    <t>1""-B1E-MR-4006A"– Fornecido 22/08</t>
  </si>
  <si>
    <t>1""-B1E-MR-4007A"– Fornecido 22/08</t>
  </si>
  <si>
    <t>xx</t>
  </si>
  <si>
    <t>TAG PADRONIZADA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</si>
</sst>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00_-;\-* #,##0.0000_-;_-* &quot;-&quot;??_-;_-@_-"/>
    <numFmt numFmtId="165" formatCode="#,##0.000000"/>
    <numFmt numFmtId="166" formatCode="#,##0.00_ ;\-#,##0.00\ "/>
    <numFmt numFmtId="167" formatCode="#,##0.0"/>
    <numFmt numFmtId="168" formatCode="#,##0.0000_ ;\-#,##0.0000\ "/>
    <numFmt numFmtId="169" formatCode="#,##0.0_ ;\-#,##0.0\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b/>
      <sz val="11"/>
      <color theme="7" tint="-0.249977111117893"/>
      <name val="Calibri"/>
      <family val="2"/>
    </font>
    <font>
      <sz val="11"/>
      <color rgb="FF000000"/>
      <name val="Calibri"/>
      <family val="2"/>
    </font>
    <font>
      <sz val="10"/>
      <color rgb="FF363636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2"/>
      <color rgb="FF242424"/>
      <name val="Aptos"/>
      <family val="2"/>
    </font>
    <font>
      <b/>
      <sz val="12"/>
      <color rgb="FF242424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C769E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AEABAB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C4F2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1BB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</cellStyleXfs>
  <cellXfs count="17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3" fontId="3" fillId="3" borderId="1" xfId="1" applyFont="1" applyFill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 wrapText="1"/>
    </xf>
    <xf numFmtId="1" fontId="3" fillId="3" borderId="1" xfId="1" applyNumberFormat="1" applyFont="1" applyFill="1" applyBorder="1" applyAlignment="1">
      <alignment horizontal="center" vertical="center"/>
    </xf>
    <xf numFmtId="0" fontId="0" fillId="0" borderId="0" xfId="0" pivotButton="1"/>
    <xf numFmtId="14" fontId="3" fillId="0" borderId="0" xfId="0" applyNumberFormat="1" applyFont="1" applyAlignment="1">
      <alignment horizontal="center" vertical="center"/>
    </xf>
    <xf numFmtId="14" fontId="3" fillId="3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4" fontId="3" fillId="4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4" fontId="3" fillId="4" borderId="7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0" fontId="6" fillId="0" borderId="0" xfId="0" applyFont="1"/>
    <xf numFmtId="166" fontId="5" fillId="7" borderId="0" xfId="1" applyNumberFormat="1" applyFont="1" applyFill="1" applyAlignment="1">
      <alignment horizontal="center"/>
    </xf>
    <xf numFmtId="0" fontId="5" fillId="7" borderId="0" xfId="0" applyFont="1" applyFill="1"/>
    <xf numFmtId="166" fontId="5" fillId="7" borderId="0" xfId="0" applyNumberFormat="1" applyFont="1" applyFill="1"/>
    <xf numFmtId="167" fontId="0" fillId="0" borderId="1" xfId="0" applyNumberFormat="1" applyBorder="1" applyAlignment="1">
      <alignment horizontal="center"/>
    </xf>
    <xf numFmtId="0" fontId="6" fillId="0" borderId="1" xfId="0" applyFont="1" applyBorder="1"/>
    <xf numFmtId="10" fontId="0" fillId="0" borderId="1" xfId="2" applyNumberFormat="1" applyFont="1" applyBorder="1"/>
    <xf numFmtId="0" fontId="0" fillId="0" borderId="1" xfId="0" applyBorder="1"/>
    <xf numFmtId="4" fontId="0" fillId="0" borderId="0" xfId="0" applyNumberFormat="1"/>
    <xf numFmtId="168" fontId="0" fillId="0" borderId="0" xfId="0" applyNumberFormat="1"/>
    <xf numFmtId="0" fontId="11" fillId="7" borderId="1" xfId="3" applyFont="1" applyFill="1" applyBorder="1" applyAlignment="1">
      <alignment horizontal="center"/>
    </xf>
    <xf numFmtId="0" fontId="12" fillId="7" borderId="1" xfId="3" applyFont="1" applyFill="1" applyBorder="1" applyAlignment="1">
      <alignment horizontal="center"/>
    </xf>
    <xf numFmtId="169" fontId="5" fillId="7" borderId="0" xfId="1" applyNumberFormat="1" applyFont="1" applyFill="1" applyAlignment="1">
      <alignment horizontal="center"/>
    </xf>
    <xf numFmtId="4" fontId="5" fillId="7" borderId="0" xfId="0" applyNumberFormat="1" applyFont="1" applyFill="1"/>
    <xf numFmtId="4" fontId="5" fillId="8" borderId="8" xfId="0" applyNumberFormat="1" applyFont="1" applyFill="1" applyBorder="1" applyAlignment="1">
      <alignment horizontal="center"/>
    </xf>
    <xf numFmtId="4" fontId="5" fillId="8" borderId="10" xfId="0" applyNumberFormat="1" applyFont="1" applyFill="1" applyBorder="1" applyAlignment="1">
      <alignment horizontal="center"/>
    </xf>
    <xf numFmtId="0" fontId="5" fillId="8" borderId="7" xfId="0" applyFont="1" applyFill="1" applyBorder="1"/>
    <xf numFmtId="10" fontId="5" fillId="7" borderId="0" xfId="2" applyNumberFormat="1" applyFont="1" applyFill="1" applyAlignment="1">
      <alignment horizontal="center"/>
    </xf>
    <xf numFmtId="4" fontId="0" fillId="0" borderId="11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2" xfId="0" applyBorder="1"/>
    <xf numFmtId="0" fontId="5" fillId="9" borderId="4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16" fontId="6" fillId="0" borderId="0" xfId="0" applyNumberFormat="1" applyFont="1"/>
    <xf numFmtId="0" fontId="6" fillId="7" borderId="14" xfId="0" applyFont="1" applyFill="1" applyBorder="1"/>
    <xf numFmtId="0" fontId="6" fillId="8" borderId="15" xfId="0" applyFont="1" applyFill="1" applyBorder="1"/>
    <xf numFmtId="0" fontId="5" fillId="8" borderId="15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left"/>
    </xf>
    <xf numFmtId="0" fontId="7" fillId="5" borderId="9" xfId="0" applyFont="1" applyFill="1" applyBorder="1" applyAlignment="1">
      <alignment vertical="center"/>
    </xf>
    <xf numFmtId="0" fontId="9" fillId="10" borderId="9" xfId="0" applyFont="1" applyFill="1" applyBorder="1" applyAlignment="1">
      <alignment vertical="center"/>
    </xf>
    <xf numFmtId="0" fontId="13" fillId="6" borderId="9" xfId="0" applyFont="1" applyFill="1" applyBorder="1" applyAlignment="1">
      <alignment vertical="center"/>
    </xf>
    <xf numFmtId="0" fontId="7" fillId="5" borderId="9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14" fontId="7" fillId="5" borderId="9" xfId="0" applyNumberFormat="1" applyFont="1" applyFill="1" applyBorder="1" applyAlignment="1">
      <alignment horizontal="center" vertical="center"/>
    </xf>
    <xf numFmtId="14" fontId="9" fillId="10" borderId="9" xfId="0" applyNumberFormat="1" applyFont="1" applyFill="1" applyBorder="1" applyAlignment="1">
      <alignment horizontal="center" vertical="center"/>
    </xf>
    <xf numFmtId="14" fontId="13" fillId="6" borderId="9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9" fillId="11" borderId="9" xfId="0" applyFont="1" applyFill="1" applyBorder="1" applyAlignment="1">
      <alignment vertical="center"/>
    </xf>
    <xf numFmtId="0" fontId="9" fillId="11" borderId="9" xfId="0" applyFont="1" applyFill="1" applyBorder="1" applyAlignment="1">
      <alignment horizontal="center" vertical="center"/>
    </xf>
    <xf numFmtId="14" fontId="9" fillId="11" borderId="9" xfId="0" applyNumberFormat="1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14" fontId="3" fillId="0" borderId="0" xfId="1" applyNumberFormat="1" applyFont="1" applyAlignment="1">
      <alignment horizontal="center" vertical="center" wrapText="1"/>
    </xf>
    <xf numFmtId="14" fontId="3" fillId="0" borderId="0" xfId="0" applyNumberFormat="1" applyFont="1" applyAlignment="1">
      <alignment vertical="center"/>
    </xf>
    <xf numFmtId="14" fontId="3" fillId="3" borderId="1" xfId="0" applyNumberFormat="1" applyFont="1" applyFill="1" applyBorder="1" applyAlignment="1">
      <alignment horizontal="center" vertical="center"/>
    </xf>
    <xf numFmtId="9" fontId="3" fillId="3" borderId="1" xfId="2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14" fontId="3" fillId="3" borderId="12" xfId="0" applyNumberFormat="1" applyFont="1" applyFill="1" applyBorder="1" applyAlignment="1">
      <alignment horizontal="center" vertical="center"/>
    </xf>
    <xf numFmtId="14" fontId="3" fillId="3" borderId="20" xfId="0" applyNumberFormat="1" applyFont="1" applyFill="1" applyBorder="1" applyAlignment="1">
      <alignment horizontal="center" vertical="center"/>
    </xf>
    <xf numFmtId="9" fontId="3" fillId="3" borderId="21" xfId="2" applyFont="1" applyFill="1" applyBorder="1" applyAlignment="1">
      <alignment horizontal="center" vertical="center"/>
    </xf>
    <xf numFmtId="14" fontId="3" fillId="3" borderId="21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left" vertical="center"/>
    </xf>
    <xf numFmtId="0" fontId="14" fillId="5" borderId="9" xfId="0" applyFont="1" applyFill="1" applyBorder="1" applyAlignment="1">
      <alignment horizontal="left" vertical="center"/>
    </xf>
    <xf numFmtId="14" fontId="14" fillId="5" borderId="9" xfId="0" applyNumberFormat="1" applyFont="1" applyFill="1" applyBorder="1" applyAlignment="1">
      <alignment horizontal="left" vertical="center"/>
    </xf>
    <xf numFmtId="0" fontId="15" fillId="6" borderId="9" xfId="0" applyFont="1" applyFill="1" applyBorder="1" applyAlignment="1">
      <alignment horizontal="left" vertical="center"/>
    </xf>
    <xf numFmtId="9" fontId="15" fillId="6" borderId="9" xfId="0" applyNumberFormat="1" applyFont="1" applyFill="1" applyBorder="1" applyAlignment="1">
      <alignment horizontal="left" vertical="center"/>
    </xf>
    <xf numFmtId="14" fontId="15" fillId="6" borderId="9" xfId="0" applyNumberFormat="1" applyFont="1" applyFill="1" applyBorder="1" applyAlignment="1">
      <alignment horizontal="left" vertical="center"/>
    </xf>
    <xf numFmtId="0" fontId="15" fillId="12" borderId="9" xfId="0" applyFont="1" applyFill="1" applyBorder="1" applyAlignment="1">
      <alignment horizontal="left" vertical="center"/>
    </xf>
    <xf numFmtId="0" fontId="15" fillId="13" borderId="9" xfId="0" applyFont="1" applyFill="1" applyBorder="1" applyAlignment="1">
      <alignment horizontal="left" vertical="center"/>
    </xf>
    <xf numFmtId="0" fontId="15" fillId="14" borderId="9" xfId="0" applyFont="1" applyFill="1" applyBorder="1" applyAlignment="1">
      <alignment horizontal="left" vertical="center"/>
    </xf>
    <xf numFmtId="0" fontId="15" fillId="15" borderId="9" xfId="0" applyFont="1" applyFill="1" applyBorder="1" applyAlignment="1">
      <alignment horizontal="left" vertical="center"/>
    </xf>
    <xf numFmtId="0" fontId="15" fillId="16" borderId="9" xfId="0" applyFont="1" applyFill="1" applyBorder="1" applyAlignment="1">
      <alignment horizontal="left" vertical="center"/>
    </xf>
    <xf numFmtId="0" fontId="15" fillId="17" borderId="9" xfId="0" applyFont="1" applyFill="1" applyBorder="1" applyAlignment="1">
      <alignment horizontal="left" vertical="center"/>
    </xf>
    <xf numFmtId="0" fontId="3" fillId="19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14" fontId="2" fillId="19" borderId="1" xfId="0" applyNumberFormat="1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19" borderId="12" xfId="0" applyFont="1" applyFill="1" applyBorder="1" applyAlignment="1">
      <alignment horizontal="center" vertical="center"/>
    </xf>
    <xf numFmtId="14" fontId="2" fillId="19" borderId="12" xfId="0" applyNumberFormat="1" applyFont="1" applyFill="1" applyBorder="1" applyAlignment="1">
      <alignment horizontal="center" vertical="center"/>
    </xf>
    <xf numFmtId="0" fontId="2" fillId="20" borderId="1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14" fontId="2" fillId="19" borderId="2" xfId="0" applyNumberFormat="1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10" fontId="2" fillId="19" borderId="25" xfId="2" applyNumberFormat="1" applyFont="1" applyFill="1" applyBorder="1" applyAlignment="1">
      <alignment horizontal="center" vertical="center"/>
    </xf>
    <xf numFmtId="9" fontId="3" fillId="19" borderId="0" xfId="2" applyFont="1" applyFill="1" applyAlignment="1">
      <alignment vertical="center"/>
    </xf>
    <xf numFmtId="14" fontId="3" fillId="19" borderId="0" xfId="0" applyNumberFormat="1" applyFont="1" applyFill="1" applyAlignment="1">
      <alignment vertical="center"/>
    </xf>
    <xf numFmtId="43" fontId="3" fillId="19" borderId="0" xfId="1" applyFont="1" applyFill="1" applyAlignment="1">
      <alignment vertical="center"/>
    </xf>
    <xf numFmtId="43" fontId="3" fillId="19" borderId="0" xfId="0" applyNumberFormat="1" applyFont="1" applyFill="1" applyAlignment="1">
      <alignment vertical="center"/>
    </xf>
    <xf numFmtId="10" fontId="16" fillId="19" borderId="0" xfId="2" applyNumberFormat="1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14" fontId="16" fillId="3" borderId="12" xfId="0" applyNumberFormat="1" applyFont="1" applyFill="1" applyBorder="1" applyAlignment="1">
      <alignment horizontal="center" vertical="center"/>
    </xf>
    <xf numFmtId="9" fontId="16" fillId="3" borderId="1" xfId="2" applyFont="1" applyFill="1" applyBorder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43" fontId="3" fillId="3" borderId="11" xfId="0" applyNumberFormat="1" applyFont="1" applyFill="1" applyBorder="1" applyAlignment="1">
      <alignment vertical="center"/>
    </xf>
    <xf numFmtId="43" fontId="16" fillId="3" borderId="11" xfId="0" applyNumberFormat="1" applyFont="1" applyFill="1" applyBorder="1" applyAlignment="1">
      <alignment vertical="center"/>
    </xf>
    <xf numFmtId="43" fontId="3" fillId="3" borderId="28" xfId="0" applyNumberFormat="1" applyFont="1" applyFill="1" applyBorder="1" applyAlignment="1">
      <alignment vertical="center"/>
    </xf>
    <xf numFmtId="43" fontId="3" fillId="3" borderId="29" xfId="0" applyNumberFormat="1" applyFont="1" applyFill="1" applyBorder="1" applyAlignment="1">
      <alignment vertical="center"/>
    </xf>
    <xf numFmtId="0" fontId="3" fillId="21" borderId="25" xfId="0" applyFont="1" applyFill="1" applyBorder="1" applyAlignment="1">
      <alignment vertical="center"/>
    </xf>
    <xf numFmtId="0" fontId="16" fillId="21" borderId="25" xfId="0" applyFont="1" applyFill="1" applyBorder="1" applyAlignment="1">
      <alignment vertical="center"/>
    </xf>
    <xf numFmtId="0" fontId="3" fillId="21" borderId="30" xfId="0" applyFont="1" applyFill="1" applyBorder="1" applyAlignment="1">
      <alignment vertical="center"/>
    </xf>
    <xf numFmtId="14" fontId="3" fillId="21" borderId="25" xfId="0" applyNumberFormat="1" applyFont="1" applyFill="1" applyBorder="1" applyAlignment="1">
      <alignment horizontal="center" vertical="center" wrapText="1"/>
    </xf>
    <xf numFmtId="14" fontId="3" fillId="21" borderId="30" xfId="0" applyNumberFormat="1" applyFont="1" applyFill="1" applyBorder="1" applyAlignment="1">
      <alignment horizontal="center" vertical="center" wrapText="1"/>
    </xf>
    <xf numFmtId="14" fontId="2" fillId="20" borderId="31" xfId="0" applyNumberFormat="1" applyFont="1" applyFill="1" applyBorder="1" applyAlignment="1">
      <alignment horizontal="center" vertical="center"/>
    </xf>
    <xf numFmtId="14" fontId="2" fillId="20" borderId="32" xfId="0" applyNumberFormat="1" applyFont="1" applyFill="1" applyBorder="1" applyAlignment="1">
      <alignment horizontal="center" vertical="center"/>
    </xf>
    <xf numFmtId="14" fontId="2" fillId="20" borderId="33" xfId="0" applyNumberFormat="1" applyFont="1" applyFill="1" applyBorder="1" applyAlignment="1">
      <alignment horizontal="center" vertical="center"/>
    </xf>
    <xf numFmtId="14" fontId="3" fillId="21" borderId="34" xfId="0" applyNumberFormat="1" applyFont="1" applyFill="1" applyBorder="1" applyAlignment="1">
      <alignment horizontal="center" vertical="center" wrapText="1"/>
    </xf>
    <xf numFmtId="14" fontId="3" fillId="3" borderId="35" xfId="0" applyNumberFormat="1" applyFont="1" applyFill="1" applyBorder="1" applyAlignment="1">
      <alignment horizontal="center" vertical="center"/>
    </xf>
    <xf numFmtId="9" fontId="3" fillId="3" borderId="36" xfId="2" applyFont="1" applyFill="1" applyBorder="1" applyAlignment="1">
      <alignment horizontal="center" vertical="center"/>
    </xf>
    <xf numFmtId="14" fontId="3" fillId="3" borderId="36" xfId="0" applyNumberFormat="1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21" borderId="34" xfId="0" applyFont="1" applyFill="1" applyBorder="1" applyAlignment="1">
      <alignment vertical="center"/>
    </xf>
    <xf numFmtId="14" fontId="2" fillId="21" borderId="27" xfId="0" applyNumberFormat="1" applyFont="1" applyFill="1" applyBorder="1" applyAlignment="1">
      <alignment horizontal="center" vertical="center" wrapText="1"/>
    </xf>
    <xf numFmtId="14" fontId="2" fillId="2" borderId="38" xfId="0" applyNumberFormat="1" applyFont="1" applyFill="1" applyBorder="1" applyAlignment="1">
      <alignment horizontal="center" vertical="center" wrapText="1"/>
    </xf>
    <xf numFmtId="14" fontId="2" fillId="2" borderId="39" xfId="0" applyNumberFormat="1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10" fontId="2" fillId="2" borderId="27" xfId="2" applyNumberFormat="1" applyFont="1" applyFill="1" applyBorder="1" applyAlignment="1">
      <alignment horizontal="center" vertical="center"/>
    </xf>
    <xf numFmtId="0" fontId="2" fillId="21" borderId="27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" fillId="19" borderId="0" xfId="0" applyFont="1" applyFill="1" applyAlignment="1">
      <alignment horizontal="center" vertical="center"/>
    </xf>
    <xf numFmtId="0" fontId="2" fillId="20" borderId="12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19" borderId="12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19" borderId="24" xfId="0" applyFont="1" applyFill="1" applyBorder="1" applyAlignment="1">
      <alignment horizontal="center" vertical="center" wrapText="1"/>
    </xf>
    <xf numFmtId="0" fontId="2" fillId="19" borderId="25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4">
    <cellStyle name="Normal" xfId="0" builtinId="0"/>
    <cellStyle name="Normal_Plan1" xfId="3" xr:uid="{D34B3E19-285C-47C3-8925-389F9718571F}"/>
    <cellStyle name="Porcentagem" xfId="2" builtinId="5"/>
    <cellStyle name="Vírgula" xfId="1" builtinId="3"/>
  </cellStyles>
  <dxfs count="2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</dxfs>
  <tableStyles count="0" defaultTableStyle="TableStyleMedium2" defaultPivotStyle="PivotStyleLight16"/>
  <colors>
    <mruColors>
      <color rgb="FFFC4F2C"/>
      <color rgb="FFF93F2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Histograma!$J$7:$R$7</c:f>
              <c:strCache>
                <c:ptCount val="9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</c:strCache>
            </c:strRef>
          </c:cat>
          <c:val>
            <c:numRef>
              <c:f>Histograma!$J$16:$R$16</c:f>
              <c:numCache>
                <c:formatCode>#,##0.00_ ;\-#,##0.00\ </c:formatCode>
                <c:ptCount val="9"/>
                <c:pt idx="0">
                  <c:v>17</c:v>
                </c:pt>
                <c:pt idx="1">
                  <c:v>27</c:v>
                </c:pt>
                <c:pt idx="2">
                  <c:v>34</c:v>
                </c:pt>
                <c:pt idx="3">
                  <c:v>36</c:v>
                </c:pt>
                <c:pt idx="4">
                  <c:v>36</c:v>
                </c:pt>
                <c:pt idx="5">
                  <c:v>34</c:v>
                </c:pt>
                <c:pt idx="6">
                  <c:v>32</c:v>
                </c:pt>
                <c:pt idx="7">
                  <c:v>27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9-44D4-8EE3-32357EB47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8424431"/>
        <c:axId val="1708425871"/>
      </c:barChart>
      <c:catAx>
        <c:axId val="170842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8425871"/>
        <c:crosses val="autoZero"/>
        <c:auto val="1"/>
        <c:lblAlgn val="ctr"/>
        <c:lblOffset val="100"/>
        <c:noMultiLvlLbl val="0"/>
      </c:catAx>
      <c:valAx>
        <c:axId val="170842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;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842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[Crono e Histo e Analise de Lote - PLAN - Fabricação HOOK UP UGNL2 1 (1).xlsx]Analise de Lote!Tabela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ANALISE LOTE</a:t>
            </a:r>
            <a:r>
              <a:rPr lang="pt-BR" baseline="0"/>
              <a:t> X AREA X DATA DE ENTREGA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de Lote'!$B$1:$B$2</c:f>
              <c:strCache>
                <c:ptCount val="1"/>
                <c:pt idx="0">
                  <c:v>17/ago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'Analise de Lote'!$A$3:$A$14</c:f>
              <c:multiLvlStrCache>
                <c:ptCount val="7"/>
                <c:lvl>
                  <c:pt idx="0">
                    <c:v>CWP 3.1 - LIQUEFACTION</c:v>
                  </c:pt>
                  <c:pt idx="1">
                    <c:v>CWP 3.1 - LIQUEFACTION</c:v>
                  </c:pt>
                  <c:pt idx="2">
                    <c:v>CWP 1.1 - INLET GAS</c:v>
                  </c:pt>
                  <c:pt idx="3">
                    <c:v>CWP 2.1 - PRÉ-TREATMENT</c:v>
                  </c:pt>
                  <c:pt idx="4">
                    <c:v>CWP 4.1 - STORAGE TANKS</c:v>
                  </c:pt>
                  <c:pt idx="5">
                    <c:v>CWP 5.1 - E-HOUSES AREA</c:v>
                  </c:pt>
                  <c:pt idx="6">
                    <c:v>CWP 7.1 LOADING AREA</c:v>
                  </c:pt>
                </c:lvl>
                <c:lvl>
                  <c:pt idx="0">
                    <c:v>1º</c:v>
                  </c:pt>
                  <c:pt idx="1">
                    <c:v>2º</c:v>
                  </c:pt>
                  <c:pt idx="2">
                    <c:v>3º</c:v>
                  </c:pt>
                  <c:pt idx="4">
                    <c:v>4º</c:v>
                  </c:pt>
                </c:lvl>
              </c:multiLvlStrCache>
            </c:multiLvlStrRef>
          </c:cat>
          <c:val>
            <c:numRef>
              <c:f>'Analise de Lote'!$B$3:$B$14</c:f>
              <c:numCache>
                <c:formatCode>_(* #,##0.00_);_(* \(#,##0.00\);_(* "-"??_);_(@_)</c:formatCode>
                <c:ptCount val="7"/>
                <c:pt idx="0">
                  <c:v>6996.4533500000007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E-42D4-A3BC-4F2A7E217337}"/>
            </c:ext>
          </c:extLst>
        </c:ser>
        <c:ser>
          <c:idx val="1"/>
          <c:order val="1"/>
          <c:tx>
            <c:strRef>
              <c:f>'Analise de Lote'!$C$1:$C$2</c:f>
              <c:strCache>
                <c:ptCount val="1"/>
                <c:pt idx="0">
                  <c:v>31/ago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'Analise de Lote'!$A$3:$A$14</c:f>
              <c:multiLvlStrCache>
                <c:ptCount val="7"/>
                <c:lvl>
                  <c:pt idx="0">
                    <c:v>CWP 3.1 - LIQUEFACTION</c:v>
                  </c:pt>
                  <c:pt idx="1">
                    <c:v>CWP 3.1 - LIQUEFACTION</c:v>
                  </c:pt>
                  <c:pt idx="2">
                    <c:v>CWP 1.1 - INLET GAS</c:v>
                  </c:pt>
                  <c:pt idx="3">
                    <c:v>CWP 2.1 - PRÉ-TREATMENT</c:v>
                  </c:pt>
                  <c:pt idx="4">
                    <c:v>CWP 4.1 - STORAGE TANKS</c:v>
                  </c:pt>
                  <c:pt idx="5">
                    <c:v>CWP 5.1 - E-HOUSES AREA</c:v>
                  </c:pt>
                  <c:pt idx="6">
                    <c:v>CWP 7.1 LOADING AREA</c:v>
                  </c:pt>
                </c:lvl>
                <c:lvl>
                  <c:pt idx="0">
                    <c:v>1º</c:v>
                  </c:pt>
                  <c:pt idx="1">
                    <c:v>2º</c:v>
                  </c:pt>
                  <c:pt idx="2">
                    <c:v>3º</c:v>
                  </c:pt>
                  <c:pt idx="4">
                    <c:v>4º</c:v>
                  </c:pt>
                </c:lvl>
              </c:multiLvlStrCache>
            </c:multiLvlStrRef>
          </c:cat>
          <c:val>
            <c:numRef>
              <c:f>'Analise de Lote'!$C$3:$C$14</c:f>
              <c:numCache>
                <c:formatCode>_(* #,##0.00_);_(* \(#,##0.00\);_(* "-"??_);_(@_)</c:formatCode>
                <c:ptCount val="7"/>
                <c:pt idx="1">
                  <c:v>9936.8800499999998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6E-42D4-A3BC-4F2A7E217337}"/>
            </c:ext>
          </c:extLst>
        </c:ser>
        <c:ser>
          <c:idx val="2"/>
          <c:order val="2"/>
          <c:tx>
            <c:strRef>
              <c:f>'Analise de Lote'!$D$1:$D$2</c:f>
              <c:strCache>
                <c:ptCount val="1"/>
                <c:pt idx="0">
                  <c:v>15/set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'Analise de Lote'!$A$3:$A$14</c:f>
              <c:multiLvlStrCache>
                <c:ptCount val="7"/>
                <c:lvl>
                  <c:pt idx="0">
                    <c:v>CWP 3.1 - LIQUEFACTION</c:v>
                  </c:pt>
                  <c:pt idx="1">
                    <c:v>CWP 3.1 - LIQUEFACTION</c:v>
                  </c:pt>
                  <c:pt idx="2">
                    <c:v>CWP 1.1 - INLET GAS</c:v>
                  </c:pt>
                  <c:pt idx="3">
                    <c:v>CWP 2.1 - PRÉ-TREATMENT</c:v>
                  </c:pt>
                  <c:pt idx="4">
                    <c:v>CWP 4.1 - STORAGE TANKS</c:v>
                  </c:pt>
                  <c:pt idx="5">
                    <c:v>CWP 5.1 - E-HOUSES AREA</c:v>
                  </c:pt>
                  <c:pt idx="6">
                    <c:v>CWP 7.1 LOADING AREA</c:v>
                  </c:pt>
                </c:lvl>
                <c:lvl>
                  <c:pt idx="0">
                    <c:v>1º</c:v>
                  </c:pt>
                  <c:pt idx="1">
                    <c:v>2º</c:v>
                  </c:pt>
                  <c:pt idx="2">
                    <c:v>3º</c:v>
                  </c:pt>
                  <c:pt idx="4">
                    <c:v>4º</c:v>
                  </c:pt>
                </c:lvl>
              </c:multiLvlStrCache>
            </c:multiLvlStrRef>
          </c:cat>
          <c:val>
            <c:numRef>
              <c:f>'Analise de Lote'!$D$3:$D$14</c:f>
              <c:numCache>
                <c:formatCode>_(* #,##0.00_);_(* \(#,##0.00\);_(* "-"??_);_(@_)</c:formatCode>
                <c:ptCount val="7"/>
                <c:pt idx="2">
                  <c:v>4078.7945999999997</c:v>
                </c:pt>
                <c:pt idx="3">
                  <c:v>3737.5892500000004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6E-42D4-A3BC-4F2A7E217337}"/>
            </c:ext>
          </c:extLst>
        </c:ser>
        <c:ser>
          <c:idx val="3"/>
          <c:order val="3"/>
          <c:tx>
            <c:strRef>
              <c:f>'Analise de Lote'!$E$1:$E$2</c:f>
              <c:strCache>
                <c:ptCount val="1"/>
                <c:pt idx="0">
                  <c:v>22/set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'Analise de Lote'!$A$3:$A$14</c:f>
              <c:multiLvlStrCache>
                <c:ptCount val="7"/>
                <c:lvl>
                  <c:pt idx="0">
                    <c:v>CWP 3.1 - LIQUEFACTION</c:v>
                  </c:pt>
                  <c:pt idx="1">
                    <c:v>CWP 3.1 - LIQUEFACTION</c:v>
                  </c:pt>
                  <c:pt idx="2">
                    <c:v>CWP 1.1 - INLET GAS</c:v>
                  </c:pt>
                  <c:pt idx="3">
                    <c:v>CWP 2.1 - PRÉ-TREATMENT</c:v>
                  </c:pt>
                  <c:pt idx="4">
                    <c:v>CWP 4.1 - STORAGE TANKS</c:v>
                  </c:pt>
                  <c:pt idx="5">
                    <c:v>CWP 5.1 - E-HOUSES AREA</c:v>
                  </c:pt>
                  <c:pt idx="6">
                    <c:v>CWP 7.1 LOADING AREA</c:v>
                  </c:pt>
                </c:lvl>
                <c:lvl>
                  <c:pt idx="0">
                    <c:v>1º</c:v>
                  </c:pt>
                  <c:pt idx="1">
                    <c:v>2º</c:v>
                  </c:pt>
                  <c:pt idx="2">
                    <c:v>3º</c:v>
                  </c:pt>
                  <c:pt idx="4">
                    <c:v>4º</c:v>
                  </c:pt>
                </c:lvl>
              </c:multiLvlStrCache>
            </c:multiLvlStrRef>
          </c:cat>
          <c:val>
            <c:numRef>
              <c:f>'Analise de Lote'!$E$3:$E$14</c:f>
              <c:numCache>
                <c:formatCode>_(* #,##0.00_);_(* \(#,##0.00\);_(* "-"??_);_(@_)</c:formatCode>
                <c:ptCount val="7"/>
                <c:pt idx="4">
                  <c:v>413.22170000000006</c:v>
                </c:pt>
                <c:pt idx="5">
                  <c:v>440.3334000000001</c:v>
                </c:pt>
                <c:pt idx="6">
                  <c:v>1087.5762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6E-42D4-A3BC-4F2A7E2173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856606432"/>
        <c:axId val="856606912"/>
      </c:barChart>
      <c:catAx>
        <c:axId val="85660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6606912"/>
        <c:crosses val="autoZero"/>
        <c:auto val="1"/>
        <c:lblAlgn val="ctr"/>
        <c:lblOffset val="100"/>
        <c:noMultiLvlLbl val="0"/>
      </c:catAx>
      <c:valAx>
        <c:axId val="856606912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85660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10887</xdr:colOff>
      <xdr:row>16</xdr:row>
      <xdr:rowOff>161365</xdr:rowOff>
    </xdr:from>
    <xdr:to>
      <xdr:col>19</xdr:col>
      <xdr:colOff>43544</xdr:colOff>
      <xdr:row>32</xdr:row>
      <xdr:rowOff>35859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8EAF99-72DC-4B57-B954-4DB0A39C1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415636</xdr:colOff>
      <xdr:row>1</xdr:row>
      <xdr:rowOff>167843</xdr:rowOff>
    </xdr:from>
    <xdr:to>
      <xdr:col>8</xdr:col>
      <xdr:colOff>773546</xdr:colOff>
      <xdr:row>14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9C5652-5138-7F3C-CABF-E18F7D358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mulo Silva" id="{14E91311-4B7E-43AD-818C-E24B3F5A39E0}" userId="S::romulo.silva@eneva.com.br::7469b391-aaf1-4b3b-aca7-6ecb5b6622b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ulo Silva" refreshedDate="46232.562710185186" createdVersion="8" refreshedVersion="8" minRefreshableVersion="3" recordCount="178" xr:uid="{1FB8AE51-1173-4446-BD97-07B96EBA7C57}">
  <cacheSource type="worksheet">
    <worksheetSource ref="A1:H179" sheet="SEQ. DE ENTREGA POR LINHA"/>
  </cacheSource>
  <cacheFields count="10">
    <cacheField name="ITEM" numFmtId="0">
      <sharedItems containsSemiMixedTypes="0" containsString="0" containsNumber="1" containsInteger="1" minValue="1" maxValue="178"/>
    </cacheField>
    <cacheField name="LINHA" numFmtId="0">
      <sharedItems/>
    </cacheField>
    <cacheField name="SKID" numFmtId="0">
      <sharedItems count="27">
        <s v="WASHING TOWER SKID A"/>
        <s v="COMPRESSOR"/>
        <s v="COLD BOX A"/>
        <s v="PIPERACK / MR LP COMPRESSOR SKID A"/>
        <s v="MR ACCUMULATION TANKS SKID"/>
        <s v="MIXED HYDROCARBON TANK"/>
        <s v="PIPE RACK / DISCHARGE SEPARATION TANK"/>
        <s v="PIPE RACK / MR LP COMPRESSOR SKID B"/>
        <s v="PIPE RACK / MR HP COMPRESSOR SKID A"/>
        <s v="LNG TANK A"/>
        <s v="LNG TANK B"/>
        <s v="LNG TANK C"/>
        <s v="LNG TANK D"/>
        <s v="LNG TANK E"/>
        <s v="LNG TANK F"/>
        <s v="PIPE RACK"/>
        <s v="SKID"/>
        <s v="DEACIDIFICATION A"/>
        <s v="LNG PUMP SKID A"/>
        <s v="LNG PUMP SKID B"/>
        <s v="HOT OIL"/>
        <s v="DEHYDRATION C"/>
        <s v="PIPE RACK / MR HP COMPRESSOR SKID B"/>
        <s v="EAG HEATER / DISCHARGE SEPARATION TANK"/>
        <s v="DEACIDIFICATION B"/>
        <s v="INSTRUMENT AIR SKID"/>
        <s v="DEHYDRATION D"/>
      </sharedItems>
    </cacheField>
    <cacheField name="CWA" numFmtId="0">
      <sharedItems count="6">
        <s v="CWP 3.1 - LIQUEFACTION"/>
        <s v="CWP 1.1 - INLET GAS"/>
        <s v="CWP 2.1 - PRÉ-TREATMENT"/>
        <s v="CWP 4.1 - STORAGE TANKS"/>
        <s v="CWP 7.1 LOADING AREA"/>
        <s v="CWP 5.1 - E-HOUSES AREA"/>
      </sharedItems>
    </cacheField>
    <cacheField name="FABRICAÇÃO ( KG )" numFmtId="43">
      <sharedItems containsSemiMixedTypes="0" containsString="0" containsNumber="1" minValue="0.35" maxValue="2252.0688999999998"/>
    </cacheField>
    <cacheField name="FABRICAÇÃO ( Juntas )" numFmtId="1">
      <sharedItems containsSemiMixedTypes="0" containsString="0" containsNumber="1" containsInteger="1" minValue="1" maxValue="88"/>
    </cacheField>
    <cacheField name="DATA DE ENTREGA NO SITE PARA MONTAGEM" numFmtId="14">
      <sharedItems containsSemiMixedTypes="0" containsNonDate="0" containsDate="1" containsString="0" minDate="2026-08-17T18:00:00" maxDate="2026-09-22T18:00:00" count="4">
        <d v="2026-08-17T18:00:00"/>
        <d v="2026-09-15T18:00:00"/>
        <d v="2026-08-31T18:00:00"/>
        <d v="2026-09-22T18:00:00"/>
      </sharedItems>
      <fieldGroup par="9"/>
    </cacheField>
    <cacheField name="LOTE" numFmtId="14">
      <sharedItems count="4">
        <s v="1º"/>
        <s v="3º"/>
        <s v="2º"/>
        <s v="4º"/>
      </sharedItems>
    </cacheField>
    <cacheField name="Dias (DATA DE ENTREGA NO SITE PARA MONTAGEM)" numFmtId="0" databaseField="0">
      <fieldGroup base="6">
        <rangePr groupBy="days" startDate="2026-08-17T18:00:00" endDate="2026-09-22T18:00:00"/>
        <groupItems count="368">
          <s v="&lt;17/08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2/09/2026"/>
        </groupItems>
      </fieldGroup>
    </cacheField>
    <cacheField name="Meses (DATA DE ENTREGA NO SITE PARA MONTAGEM)" numFmtId="0" databaseField="0">
      <fieldGroup base="6">
        <rangePr groupBy="months" startDate="2026-08-17T18:00:00" endDate="2026-09-22T18:00:00"/>
        <groupItems count="14">
          <s v="&lt;17/08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2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n v="1"/>
    <s v="1&quot;-A1E-CF-4310A"/>
    <x v="0"/>
    <x v="0"/>
    <n v="18.049999999999997"/>
    <n v="16"/>
    <x v="0"/>
    <x v="0"/>
  </r>
  <r>
    <n v="2"/>
    <s v="1&quot;-A3B-CWR-0612"/>
    <x v="1"/>
    <x v="1"/>
    <n v="19.220400000000001"/>
    <n v="8"/>
    <x v="1"/>
    <x v="1"/>
  </r>
  <r>
    <n v="3"/>
    <s v="1&quot;-B1E-MR-4005A"/>
    <x v="2"/>
    <x v="0"/>
    <n v="2.6249999999999996"/>
    <n v="4"/>
    <x v="0"/>
    <x v="0"/>
  </r>
  <r>
    <n v="4"/>
    <s v="1&quot;-B1E-MR-4006A"/>
    <x v="2"/>
    <x v="0"/>
    <n v="2.6249999999999996"/>
    <n v="4"/>
    <x v="0"/>
    <x v="0"/>
  </r>
  <r>
    <n v="5"/>
    <s v="1&quot;-B1E-MR-4007A"/>
    <x v="2"/>
    <x v="0"/>
    <n v="2.625"/>
    <n v="4"/>
    <x v="0"/>
    <x v="0"/>
  </r>
  <r>
    <n v="6"/>
    <s v="1&quot;-B1E-MR-4008A"/>
    <x v="2"/>
    <x v="0"/>
    <n v="2.625"/>
    <n v="4"/>
    <x v="0"/>
    <x v="0"/>
  </r>
  <r>
    <n v="7"/>
    <s v="1&quot;-B1E-MR-4009A"/>
    <x v="2"/>
    <x v="0"/>
    <n v="2.625"/>
    <n v="4"/>
    <x v="0"/>
    <x v="0"/>
  </r>
  <r>
    <n v="8"/>
    <s v="1&quot;-B3B-LO-5002A"/>
    <x v="3"/>
    <x v="0"/>
    <n v="14.769799999999998"/>
    <n v="10"/>
    <x v="2"/>
    <x v="2"/>
  </r>
  <r>
    <n v="9"/>
    <s v="1&quot;-B3B-LO-5003A"/>
    <x v="4"/>
    <x v="0"/>
    <n v="36.122400000000013"/>
    <n v="31"/>
    <x v="0"/>
    <x v="0"/>
  </r>
  <r>
    <n v="10"/>
    <s v="1&quot;-B3B-LO-5004A"/>
    <x v="3"/>
    <x v="0"/>
    <n v="35.0486"/>
    <n v="12"/>
    <x v="2"/>
    <x v="2"/>
  </r>
  <r>
    <n v="11"/>
    <s v="1&quot;-B3B-LPG-LIT-7301A"/>
    <x v="5"/>
    <x v="2"/>
    <n v="3.1239999999999997"/>
    <n v="2"/>
    <x v="1"/>
    <x v="1"/>
  </r>
  <r>
    <n v="12"/>
    <s v="1&quot;-B3B-LPG-LIT-7301B"/>
    <x v="5"/>
    <x v="2"/>
    <n v="3.1239999999999997"/>
    <n v="2"/>
    <x v="1"/>
    <x v="1"/>
  </r>
  <r>
    <n v="13"/>
    <s v="1&quot;-D1E-LPG-4305A-C-3&quot;"/>
    <x v="2"/>
    <x v="0"/>
    <n v="17.197199999999999"/>
    <n v="8"/>
    <x v="0"/>
    <x v="0"/>
  </r>
  <r>
    <n v="14"/>
    <s v="1&quot;-D1E-LPG-4308A-C-3&quot;"/>
    <x v="0"/>
    <x v="0"/>
    <n v="28.1448"/>
    <n v="10"/>
    <x v="0"/>
    <x v="0"/>
  </r>
  <r>
    <n v="15"/>
    <s v="1&quot;-D1E-NG-4001A"/>
    <x v="2"/>
    <x v="0"/>
    <n v="43.192800000000005"/>
    <n v="22"/>
    <x v="0"/>
    <x v="0"/>
  </r>
  <r>
    <n v="16"/>
    <s v="1&quot;-D3B-NG-3105A"/>
    <x v="4"/>
    <x v="0"/>
    <n v="22.364000000000001"/>
    <n v="24"/>
    <x v="0"/>
    <x v="0"/>
  </r>
  <r>
    <n v="17"/>
    <s v="1.1/2&quot;-A3B-CWR-0609"/>
    <x v="1"/>
    <x v="1"/>
    <n v="18"/>
    <n v="16"/>
    <x v="1"/>
    <x v="1"/>
  </r>
  <r>
    <n v="18"/>
    <s v="1.1/2&quot;-A3B-CWS-0601"/>
    <x v="1"/>
    <x v="1"/>
    <n v="18"/>
    <n v="16"/>
    <x v="1"/>
    <x v="1"/>
  </r>
  <r>
    <n v="19"/>
    <s v="1/2&quot;-A3B-CWS-0607"/>
    <x v="1"/>
    <x v="1"/>
    <n v="8"/>
    <n v="6"/>
    <x v="1"/>
    <x v="1"/>
  </r>
  <r>
    <n v="20"/>
    <s v="1/2&quot;-A3B-CWS-0608"/>
    <x v="1"/>
    <x v="1"/>
    <n v="8"/>
    <n v="8"/>
    <x v="1"/>
    <x v="1"/>
  </r>
  <r>
    <n v="21"/>
    <s v="10&quot;-A3B-HF-9301"/>
    <x v="6"/>
    <x v="1"/>
    <n v="565.39760000000001"/>
    <n v="53"/>
    <x v="1"/>
    <x v="1"/>
  </r>
  <r>
    <n v="22"/>
    <s v="10&quot;-A3B-HF-9401"/>
    <x v="6"/>
    <x v="1"/>
    <n v="168.91129999999998"/>
    <n v="23"/>
    <x v="1"/>
    <x v="1"/>
  </r>
  <r>
    <n v="23"/>
    <s v="10&quot;-B3B-MR-5203A-PP-2&quot;"/>
    <x v="7"/>
    <x v="0"/>
    <n v="1104.1905000000002"/>
    <n v="9"/>
    <x v="2"/>
    <x v="2"/>
  </r>
  <r>
    <n v="24"/>
    <s v="10&quot;-B3B-MR-5203B-PP-2&quot;"/>
    <x v="8"/>
    <x v="0"/>
    <n v="1161.4659999999999"/>
    <n v="9"/>
    <x v="2"/>
    <x v="2"/>
  </r>
  <r>
    <n v="25"/>
    <s v="16&quot;-B3B-MR-5001A"/>
    <x v="3"/>
    <x v="0"/>
    <n v="332.9846"/>
    <n v="4"/>
    <x v="2"/>
    <x v="2"/>
  </r>
  <r>
    <n v="26"/>
    <s v="16&quot;-B3B-MR-5002A"/>
    <x v="7"/>
    <x v="0"/>
    <n v="332.9846"/>
    <n v="4"/>
    <x v="2"/>
    <x v="2"/>
  </r>
  <r>
    <n v="27"/>
    <s v="2&quot;-A1E-BOG-7001A-C-2&quot;"/>
    <x v="9"/>
    <x v="3"/>
    <n v="16.612199999999998"/>
    <n v="11"/>
    <x v="3"/>
    <x v="3"/>
  </r>
  <r>
    <n v="28"/>
    <s v="2&quot;-A1E-BOG-7002A-C-2&quot;"/>
    <x v="10"/>
    <x v="3"/>
    <n v="16.572500000000002"/>
    <n v="11"/>
    <x v="3"/>
    <x v="3"/>
  </r>
  <r>
    <n v="29"/>
    <s v="2&quot;-A1E-BOG-7003B-C-2&quot;"/>
    <x v="11"/>
    <x v="3"/>
    <n v="16.731300000000001"/>
    <n v="11"/>
    <x v="3"/>
    <x v="3"/>
  </r>
  <r>
    <n v="30"/>
    <s v="2&quot;-A1E-BOG-7004B-C-2&quot;"/>
    <x v="12"/>
    <x v="3"/>
    <n v="16.612199999999998"/>
    <n v="11"/>
    <x v="3"/>
    <x v="3"/>
  </r>
  <r>
    <n v="31"/>
    <s v="2&quot;-A1E-BOG-7005C-C-2&quot;"/>
    <x v="13"/>
    <x v="3"/>
    <n v="16.651900000000001"/>
    <n v="11"/>
    <x v="3"/>
    <x v="3"/>
  </r>
  <r>
    <n v="32"/>
    <s v="2&quot;-A1E-BOG-7006A-C-3&quot;"/>
    <x v="9"/>
    <x v="3"/>
    <n v="20.677500000000002"/>
    <n v="9"/>
    <x v="3"/>
    <x v="3"/>
  </r>
  <r>
    <n v="33"/>
    <s v="2&quot;-A1E-BOG-7006C-C-2&quot;"/>
    <x v="14"/>
    <x v="3"/>
    <n v="16.731299999999997"/>
    <n v="11"/>
    <x v="3"/>
    <x v="3"/>
  </r>
  <r>
    <n v="34"/>
    <s v="2&quot;-A1E-BOG-7007A-C-3&quot;"/>
    <x v="10"/>
    <x v="3"/>
    <n v="20.677500000000002"/>
    <n v="9"/>
    <x v="3"/>
    <x v="3"/>
  </r>
  <r>
    <n v="35"/>
    <s v="2&quot;-A1E-BOG-7008B-C-3&quot;"/>
    <x v="11"/>
    <x v="3"/>
    <n v="20.677500000000002"/>
    <n v="9"/>
    <x v="3"/>
    <x v="3"/>
  </r>
  <r>
    <n v="36"/>
    <s v="2&quot;-A1E-BOG-7009B-C-3&quot;"/>
    <x v="15"/>
    <x v="3"/>
    <n v="20.717200000000002"/>
    <n v="9"/>
    <x v="3"/>
    <x v="3"/>
  </r>
  <r>
    <n v="37"/>
    <s v="2&quot;-A1E-BOG-7010C-C-3&quot;"/>
    <x v="13"/>
    <x v="3"/>
    <n v="20.756900000000002"/>
    <n v="9"/>
    <x v="3"/>
    <x v="3"/>
  </r>
  <r>
    <n v="38"/>
    <s v="2&quot;-A1E-BOG-7011C-C-3&quot;"/>
    <x v="14"/>
    <x v="3"/>
    <n v="20.796600000000002"/>
    <n v="9"/>
    <x v="3"/>
    <x v="3"/>
  </r>
  <r>
    <n v="39"/>
    <s v="2&quot;-A1E-BOG-7205B"/>
    <x v="16"/>
    <x v="4"/>
    <n v="34.447699999999998"/>
    <n v="18"/>
    <x v="3"/>
    <x v="3"/>
  </r>
  <r>
    <n v="40"/>
    <s v="2&quot;-A1E-CF-4007A"/>
    <x v="4"/>
    <x v="0"/>
    <n v="32.842100000000002"/>
    <n v="12"/>
    <x v="0"/>
    <x v="0"/>
  </r>
  <r>
    <n v="41"/>
    <s v="2&quot;-A1E-CF-7201"/>
    <x v="16"/>
    <x v="4"/>
    <n v="25.4392"/>
    <n v="8"/>
    <x v="3"/>
    <x v="3"/>
  </r>
  <r>
    <n v="42"/>
    <s v="2&quot;-A3B-WW-9401"/>
    <x v="6"/>
    <x v="1"/>
    <n v="25.876199999999997"/>
    <n v="17"/>
    <x v="1"/>
    <x v="1"/>
  </r>
  <r>
    <n v="43"/>
    <s v="2&quot;-A3B-WW-9402"/>
    <x v="6"/>
    <x v="1"/>
    <n v="16.202999999999999"/>
    <n v="10"/>
    <x v="1"/>
    <x v="1"/>
  </r>
  <r>
    <n v="44"/>
    <s v="2&quot;-A3B-WW-LIT9401A"/>
    <x v="6"/>
    <x v="1"/>
    <n v="6.1616"/>
    <n v="6"/>
    <x v="1"/>
    <x v="1"/>
  </r>
  <r>
    <n v="45"/>
    <s v="2&quot;-A3B-WW-LIT9401B"/>
    <x v="6"/>
    <x v="1"/>
    <n v="6.1616000000000009"/>
    <n v="2"/>
    <x v="1"/>
    <x v="1"/>
  </r>
  <r>
    <n v="46"/>
    <s v="2&quot;-B1E-MR-4010A"/>
    <x v="2"/>
    <x v="0"/>
    <n v="31.2074"/>
    <n v="19"/>
    <x v="0"/>
    <x v="0"/>
  </r>
  <r>
    <n v="47"/>
    <s v="2&quot;-B3B-LPG-1001"/>
    <x v="17"/>
    <x v="2"/>
    <n v="127.98720000000002"/>
    <n v="18"/>
    <x v="1"/>
    <x v="1"/>
  </r>
  <r>
    <n v="48"/>
    <s v="2&quot;-B3B-LPG-7302"/>
    <x v="5"/>
    <x v="2"/>
    <n v="156.54239999999999"/>
    <n v="27"/>
    <x v="1"/>
    <x v="1"/>
  </r>
  <r>
    <n v="49"/>
    <s v="2&quot;-B3B-LPG-LIT-7301A"/>
    <x v="5"/>
    <x v="2"/>
    <n v="9.0159999999999982"/>
    <n v="2"/>
    <x v="1"/>
    <x v="1"/>
  </r>
  <r>
    <n v="50"/>
    <s v="2&quot;-B3B-LPG-LIT-7301B"/>
    <x v="5"/>
    <x v="2"/>
    <n v="9.0159999999999982"/>
    <n v="2"/>
    <x v="1"/>
    <x v="1"/>
  </r>
  <r>
    <n v="51"/>
    <s v="2&quot;-B3B-NG-0305"/>
    <x v="17"/>
    <x v="2"/>
    <n v="18.026400000000002"/>
    <n v="8"/>
    <x v="1"/>
    <x v="1"/>
  </r>
  <r>
    <n v="52"/>
    <s v="2&quot;-B3B-NG-7301"/>
    <x v="17"/>
    <x v="2"/>
    <n v="168.8416"/>
    <n v="25"/>
    <x v="1"/>
    <x v="1"/>
  </r>
  <r>
    <n v="53"/>
    <s v="2&quot;-B3B-WW-7302"/>
    <x v="5"/>
    <x v="2"/>
    <n v="0.35"/>
    <n v="1"/>
    <x v="1"/>
    <x v="1"/>
  </r>
  <r>
    <n v="54"/>
    <s v="2&quot;-D1E-LPG-4002A-C-3&quot;"/>
    <x v="2"/>
    <x v="0"/>
    <n v="38.734400000000001"/>
    <n v="12"/>
    <x v="0"/>
    <x v="0"/>
  </r>
  <r>
    <n v="55"/>
    <s v="24&quot;-B1E-MR-4012A"/>
    <x v="2"/>
    <x v="0"/>
    <n v="1720.9357000000002"/>
    <n v="12"/>
    <x v="0"/>
    <x v="0"/>
  </r>
  <r>
    <n v="56"/>
    <s v="24&quot;-B1E-MR-5003A"/>
    <x v="4"/>
    <x v="0"/>
    <n v="2252.0688999999998"/>
    <n v="15"/>
    <x v="0"/>
    <x v="0"/>
  </r>
  <r>
    <n v="57"/>
    <s v="3&quot;-A1E-BOG-7101A-C-3&quot;"/>
    <x v="18"/>
    <x v="3"/>
    <n v="24.747499999999999"/>
    <n v="6"/>
    <x v="3"/>
    <x v="3"/>
  </r>
  <r>
    <n v="58"/>
    <s v="3&quot;-A1E-BOG-7101B-C-3&quot;"/>
    <x v="19"/>
    <x v="3"/>
    <n v="28.093"/>
    <n v="8"/>
    <x v="3"/>
    <x v="3"/>
  </r>
  <r>
    <n v="59"/>
    <s v="3&quot;-A1E-CF-4102"/>
    <x v="4"/>
    <x v="0"/>
    <n v="13.8675"/>
    <n v="18"/>
    <x v="0"/>
    <x v="0"/>
  </r>
  <r>
    <n v="60"/>
    <s v="3&quot;-A1E-CF-7108A"/>
    <x v="15"/>
    <x v="3"/>
    <n v="37.546500000000009"/>
    <n v="13"/>
    <x v="3"/>
    <x v="3"/>
  </r>
  <r>
    <n v="61"/>
    <s v="3&quot;-A1E-CF-7108B"/>
    <x v="15"/>
    <x v="3"/>
    <n v="37.601000000000006"/>
    <n v="13"/>
    <x v="3"/>
    <x v="3"/>
  </r>
  <r>
    <n v="62"/>
    <s v="3&quot;-A3B-FG-8105"/>
    <x v="20"/>
    <x v="1"/>
    <n v="212.04929999999999"/>
    <n v="17"/>
    <x v="1"/>
    <x v="1"/>
  </r>
  <r>
    <n v="63"/>
    <s v="3&quot;-A3B-HM-8201-H-3&quot;"/>
    <x v="20"/>
    <x v="1"/>
    <n v="4.5"/>
    <n v="21"/>
    <x v="1"/>
    <x v="1"/>
  </r>
  <r>
    <n v="64"/>
    <s v="3&quot;-A3B-NG-7401"/>
    <x v="17"/>
    <x v="2"/>
    <n v="71.814340000000001"/>
    <n v="14"/>
    <x v="1"/>
    <x v="1"/>
  </r>
  <r>
    <n v="65"/>
    <s v="3&quot;-B3B-MR-5305B"/>
    <x v="7"/>
    <x v="0"/>
    <n v="204.34889999999999"/>
    <n v="10"/>
    <x v="2"/>
    <x v="2"/>
  </r>
  <r>
    <n v="66"/>
    <s v="3&quot;-B3B-MR-5505A"/>
    <x v="7"/>
    <x v="0"/>
    <n v="199.83449999999999"/>
    <n v="10"/>
    <x v="2"/>
    <x v="2"/>
  </r>
  <r>
    <n v="67"/>
    <s v="3/4&quot;-A3B-CWS-0603"/>
    <x v="1"/>
    <x v="1"/>
    <n v="8"/>
    <n v="6"/>
    <x v="1"/>
    <x v="1"/>
  </r>
  <r>
    <n v="68"/>
    <s v="3/4&quot;-A3B-CWS-0604"/>
    <x v="1"/>
    <x v="1"/>
    <n v="8"/>
    <n v="8"/>
    <x v="1"/>
    <x v="1"/>
  </r>
  <r>
    <n v="69"/>
    <s v="3/4&quot;-A3B-CWS-0605"/>
    <x v="1"/>
    <x v="1"/>
    <n v="20"/>
    <n v="18"/>
    <x v="1"/>
    <x v="1"/>
  </r>
  <r>
    <n v="70"/>
    <s v="4&quot;-A3B-BOG-7204"/>
    <x v="21"/>
    <x v="2"/>
    <n v="277.06689"/>
    <n v="23"/>
    <x v="1"/>
    <x v="1"/>
  </r>
  <r>
    <n v="71"/>
    <s v="4&quot;-A3B-HF-4006A"/>
    <x v="4"/>
    <x v="0"/>
    <n v="53.271999999999998"/>
    <n v="14"/>
    <x v="0"/>
    <x v="0"/>
  </r>
  <r>
    <n v="72"/>
    <s v="4&quot;-A3B-HF-5001A"/>
    <x v="4"/>
    <x v="0"/>
    <n v="37.658000000000001"/>
    <n v="15"/>
    <x v="0"/>
    <x v="0"/>
  </r>
  <r>
    <n v="73"/>
    <s v="4&quot;-A3B-HF-5007A"/>
    <x v="4"/>
    <x v="0"/>
    <n v="43.927250000000001"/>
    <n v="19"/>
    <x v="0"/>
    <x v="0"/>
  </r>
  <r>
    <n v="74"/>
    <s v="4&quot;-A3B-HF-7401"/>
    <x v="21"/>
    <x v="2"/>
    <n v="49.398749999999993"/>
    <n v="4"/>
    <x v="1"/>
    <x v="1"/>
  </r>
  <r>
    <n v="75"/>
    <s v="4&quot;-B3B-MR-5511A"/>
    <x v="8"/>
    <x v="0"/>
    <n v="55.228249999999996"/>
    <n v="7"/>
    <x v="2"/>
    <x v="2"/>
  </r>
  <r>
    <n v="76"/>
    <s v="4&quot;-B3B-MR-5511B"/>
    <x v="22"/>
    <x v="0"/>
    <n v="54.102999999999987"/>
    <n v="10"/>
    <x v="2"/>
    <x v="2"/>
  </r>
  <r>
    <n v="77"/>
    <s v="6&quot;-A1E-CF-4004A"/>
    <x v="0"/>
    <x v="0"/>
    <n v="102.95600000000002"/>
    <n v="12"/>
    <x v="0"/>
    <x v="0"/>
  </r>
  <r>
    <n v="78"/>
    <s v="6&quot;-A3B-HF-0404A"/>
    <x v="1"/>
    <x v="1"/>
    <n v="147.85348999999999"/>
    <n v="10"/>
    <x v="1"/>
    <x v="1"/>
  </r>
  <r>
    <n v="79"/>
    <s v="6&quot;-A3B-HF-0404B"/>
    <x v="1"/>
    <x v="1"/>
    <n v="152.19353999999998"/>
    <n v="6"/>
    <x v="1"/>
    <x v="1"/>
  </r>
  <r>
    <n v="80"/>
    <s v="6&quot;-A3B-HF-4002A"/>
    <x v="4"/>
    <x v="0"/>
    <n v="107.57289"/>
    <n v="13"/>
    <x v="0"/>
    <x v="0"/>
  </r>
  <r>
    <n v="81"/>
    <s v="6&quot;-A3B-HF-5503A"/>
    <x v="8"/>
    <x v="0"/>
    <n v="74.783419999999992"/>
    <n v="4"/>
    <x v="2"/>
    <x v="2"/>
  </r>
  <r>
    <n v="82"/>
    <s v="6&quot;-A3B-HF-5503B"/>
    <x v="22"/>
    <x v="0"/>
    <n v="77.044780000000003"/>
    <n v="4"/>
    <x v="2"/>
    <x v="2"/>
  </r>
  <r>
    <n v="83"/>
    <s v="6&quot;-B1E-MR-4001A-C-3&quot;"/>
    <x v="2"/>
    <x v="0"/>
    <n v="281.012"/>
    <n v="25"/>
    <x v="0"/>
    <x v="0"/>
  </r>
  <r>
    <n v="84"/>
    <s v="6&quot;-B1E-MR-4003A-C-4&quot;"/>
    <x v="2"/>
    <x v="0"/>
    <n v="284.38999999999993"/>
    <n v="20"/>
    <x v="0"/>
    <x v="0"/>
  </r>
  <r>
    <n v="85"/>
    <s v="6&quot;-B3B-MR-4018A"/>
    <x v="2"/>
    <x v="0"/>
    <n v="395.37724999999995"/>
    <n v="76"/>
    <x v="0"/>
    <x v="0"/>
  </r>
  <r>
    <n v="86"/>
    <s v="6&quot;-B3B-MR-5503A"/>
    <x v="8"/>
    <x v="0"/>
    <n v="145.83591000000001"/>
    <n v="7"/>
    <x v="2"/>
    <x v="2"/>
  </r>
  <r>
    <n v="87"/>
    <s v="6&quot;-B3B-MR-5503B"/>
    <x v="22"/>
    <x v="0"/>
    <n v="146.68392"/>
    <n v="10"/>
    <x v="2"/>
    <x v="2"/>
  </r>
  <r>
    <n v="88"/>
    <s v="6&quot;-D1E-NG-4301A-C-3&quot;"/>
    <x v="0"/>
    <x v="0"/>
    <n v="229.83519999999999"/>
    <n v="10"/>
    <x v="0"/>
    <x v="0"/>
  </r>
  <r>
    <n v="89"/>
    <s v="6&quot;-D3B-NG-0407A"/>
    <x v="1"/>
    <x v="1"/>
    <n v="106.92400000000001"/>
    <n v="7"/>
    <x v="1"/>
    <x v="1"/>
  </r>
  <r>
    <n v="90"/>
    <s v="6&quot;-D3B-NG-0407B"/>
    <x v="1"/>
    <x v="1"/>
    <n v="63.938400000000001"/>
    <n v="5"/>
    <x v="1"/>
    <x v="1"/>
  </r>
  <r>
    <n v="91"/>
    <s v="8&quot;-A1E-CF-9201"/>
    <x v="16"/>
    <x v="4"/>
    <n v="624.96249999999986"/>
    <n v="55"/>
    <x v="3"/>
    <x v="3"/>
  </r>
  <r>
    <n v="92"/>
    <s v="8&quot;-A3B-CF-9202"/>
    <x v="23"/>
    <x v="1"/>
    <n v="228.32509999999999"/>
    <n v="15"/>
    <x v="1"/>
    <x v="1"/>
  </r>
  <r>
    <n v="93"/>
    <s v="8&quot;-A3B-HF-5105A"/>
    <x v="3"/>
    <x v="0"/>
    <n v="114.68663999999998"/>
    <n v="4"/>
    <x v="2"/>
    <x v="2"/>
  </r>
  <r>
    <n v="94"/>
    <s v="8&quot;-A3B-HF-5105B"/>
    <x v="7"/>
    <x v="0"/>
    <n v="114.26125999999999"/>
    <n v="4"/>
    <x v="2"/>
    <x v="2"/>
  </r>
  <r>
    <n v="95"/>
    <s v="8&quot;-B3B-MR-4019A"/>
    <x v="2"/>
    <x v="0"/>
    <n v="529.06935999999996"/>
    <n v="74"/>
    <x v="0"/>
    <x v="0"/>
  </r>
  <r>
    <n v="96"/>
    <s v="8&quot;-B3B-NG-0301"/>
    <x v="24"/>
    <x v="2"/>
    <n v="425.29091999999997"/>
    <n v="13"/>
    <x v="1"/>
    <x v="1"/>
  </r>
  <r>
    <n v="97"/>
    <s v="V-941-TRIM-2"/>
    <x v="6"/>
    <x v="1"/>
    <n v="2.2212000000000001"/>
    <n v="2"/>
    <x v="1"/>
    <x v="1"/>
  </r>
  <r>
    <n v="98"/>
    <s v="V-941-TRIM-3"/>
    <x v="6"/>
    <x v="1"/>
    <n v="2.2212000000000001"/>
    <n v="2"/>
    <x v="1"/>
    <x v="1"/>
  </r>
  <r>
    <n v="99"/>
    <s v="1&quot;-A1E-IA-9010A"/>
    <x v="16"/>
    <x v="4"/>
    <n v="13.650000000000002"/>
    <n v="8"/>
    <x v="3"/>
    <x v="3"/>
  </r>
  <r>
    <n v="100"/>
    <s v="1&quot;-A1E-IA-9010B"/>
    <x v="16"/>
    <x v="4"/>
    <n v="20.85"/>
    <n v="18"/>
    <x v="3"/>
    <x v="3"/>
  </r>
  <r>
    <n v="101"/>
    <s v="1&quot;-A3B-CWR-0611"/>
    <x v="1"/>
    <x v="1"/>
    <n v="21.528000000000002"/>
    <n v="6"/>
    <x v="1"/>
    <x v="1"/>
  </r>
  <r>
    <n v="102"/>
    <s v="1&quot;-A3B-N2-9105A"/>
    <x v="2"/>
    <x v="0"/>
    <n v="31.864800000000002"/>
    <n v="20"/>
    <x v="0"/>
    <x v="0"/>
  </r>
  <r>
    <n v="103"/>
    <s v="1&quot;-A3B-N2-9106A"/>
    <x v="16"/>
    <x v="4"/>
    <n v="18.226799999999997"/>
    <n v="8"/>
    <x v="3"/>
    <x v="3"/>
  </r>
  <r>
    <n v="104"/>
    <s v="1&quot;-A3B-N2-9109"/>
    <x v="20"/>
    <x v="1"/>
    <n v="72.392400000000009"/>
    <n v="12"/>
    <x v="1"/>
    <x v="1"/>
  </r>
  <r>
    <n v="105"/>
    <s v="1&quot;-A3B-N2-9114"/>
    <x v="5"/>
    <x v="2"/>
    <n v="77.943200000000019"/>
    <n v="22"/>
    <x v="1"/>
    <x v="1"/>
  </r>
  <r>
    <n v="106"/>
    <s v="1&quot;-A3B-N2-9116"/>
    <x v="1"/>
    <x v="1"/>
    <n v="42.660600000000002"/>
    <n v="26"/>
    <x v="1"/>
    <x v="1"/>
  </r>
  <r>
    <n v="107"/>
    <s v="1&quot;-B3B-N2-5101A"/>
    <x v="3"/>
    <x v="0"/>
    <n v="17.311600000000002"/>
    <n v="6"/>
    <x v="2"/>
    <x v="2"/>
  </r>
  <r>
    <n v="108"/>
    <s v="1&quot;-B3B-N2-5101B"/>
    <x v="7"/>
    <x v="0"/>
    <n v="17.279199999999999"/>
    <n v="6"/>
    <x v="2"/>
    <x v="2"/>
  </r>
  <r>
    <n v="109"/>
    <s v="1&quot;-B3B-N2-5304A"/>
    <x v="8"/>
    <x v="0"/>
    <n v="16.436799999999998"/>
    <n v="6"/>
    <x v="2"/>
    <x v="2"/>
  </r>
  <r>
    <n v="110"/>
    <s v="1&quot;-B3B-N2-5304B"/>
    <x v="22"/>
    <x v="0"/>
    <n v="16.436799999999998"/>
    <n v="6"/>
    <x v="2"/>
    <x v="2"/>
  </r>
  <r>
    <n v="111"/>
    <s v="2&quot;-A1E-CF-4104"/>
    <x v="4"/>
    <x v="0"/>
    <n v="150"/>
    <n v="21"/>
    <x v="0"/>
    <x v="0"/>
  </r>
  <r>
    <n v="112"/>
    <s v="2&quot;-A1E-IA-9709"/>
    <x v="25"/>
    <x v="5"/>
    <n v="273.38040000000007"/>
    <n v="51"/>
    <x v="3"/>
    <x v="3"/>
  </r>
  <r>
    <n v="113"/>
    <s v="2&quot;-A3B-N2-9719"/>
    <x v="25"/>
    <x v="5"/>
    <n v="166.95300000000003"/>
    <n v="88"/>
    <x v="3"/>
    <x v="3"/>
  </r>
  <r>
    <n v="114"/>
    <s v="3&quot;-A1E-BOG-7204A-C-2&quot;"/>
    <x v="16"/>
    <x v="4"/>
    <n v="350"/>
    <n v="75"/>
    <x v="3"/>
    <x v="3"/>
  </r>
  <r>
    <n v="115"/>
    <s v="3&quot;-A3B-HM-3103-H-3&quot;"/>
    <x v="20"/>
    <x v="1"/>
    <n v="4.5"/>
    <n v="21"/>
    <x v="1"/>
    <x v="1"/>
  </r>
  <r>
    <n v="116"/>
    <s v="6&quot;-B3B-NG-0304A"/>
    <x v="1"/>
    <x v="1"/>
    <n v="190.23475000000002"/>
    <n v="8"/>
    <x v="1"/>
    <x v="1"/>
  </r>
  <r>
    <n v="117"/>
    <s v="6&quot;-B3B-NG-0304B"/>
    <x v="1"/>
    <x v="1"/>
    <n v="115.65133"/>
    <n v="6"/>
    <x v="1"/>
    <x v="1"/>
  </r>
  <r>
    <n v="118"/>
    <s v="6&quot;-D3B-NG-0407C"/>
    <x v="1"/>
    <x v="1"/>
    <n v="385.71559999999999"/>
    <n v="12"/>
    <x v="1"/>
    <x v="1"/>
  </r>
  <r>
    <n v="119"/>
    <s v="6&quot;-D3B-NG-3104A"/>
    <x v="0"/>
    <x v="0"/>
    <n v="429.7072"/>
    <n v="20"/>
    <x v="0"/>
    <x v="0"/>
  </r>
  <r>
    <n v="120"/>
    <s v="8&quot;-A3B-HF-0307"/>
    <x v="24"/>
    <x v="2"/>
    <n v="127.87341999999998"/>
    <n v="4"/>
    <x v="1"/>
    <x v="1"/>
  </r>
  <r>
    <n v="121"/>
    <s v="8&quot;-A3B-HF-3104"/>
    <x v="21"/>
    <x v="2"/>
    <n v="129.57493999999997"/>
    <n v="4"/>
    <x v="1"/>
    <x v="1"/>
  </r>
  <r>
    <n v="122"/>
    <s v="8&quot;-B3B-NG-0304"/>
    <x v="24"/>
    <x v="2"/>
    <n v="314.48681999999997"/>
    <n v="10"/>
    <x v="1"/>
    <x v="1"/>
  </r>
  <r>
    <n v="123"/>
    <s v="4''-B3B-LO-5325B-PP-2''"/>
    <x v="7"/>
    <x v="0"/>
    <n v="172.51175000000003"/>
    <n v="25"/>
    <x v="2"/>
    <x v="2"/>
  </r>
  <r>
    <n v="124"/>
    <s v="4''-B3B-LO-5113B-PP-2''"/>
    <x v="7"/>
    <x v="0"/>
    <n v="94.572749999999999"/>
    <n v="14"/>
    <x v="2"/>
    <x v="2"/>
  </r>
  <r>
    <n v="125"/>
    <s v="4''-B3B-LO-5309B-PP-2''"/>
    <x v="22"/>
    <x v="0"/>
    <n v="167.50725"/>
    <n v="27"/>
    <x v="2"/>
    <x v="2"/>
  </r>
  <r>
    <n v="126"/>
    <s v="4''-B3B-LO-5325A-PP-2''"/>
    <x v="22"/>
    <x v="0"/>
    <n v="172.67250000000004"/>
    <n v="25"/>
    <x v="2"/>
    <x v="2"/>
  </r>
  <r>
    <n v="127"/>
    <s v="4''-B3B-LO-5309A-PP-2''"/>
    <x v="22"/>
    <x v="0"/>
    <n v="167.50725"/>
    <n v="27"/>
    <x v="2"/>
    <x v="2"/>
  </r>
  <r>
    <n v="128"/>
    <s v="4''-B3B-LO-5119B-PP-2''"/>
    <x v="3"/>
    <x v="0"/>
    <n v="100.07300000000001"/>
    <n v="13"/>
    <x v="2"/>
    <x v="2"/>
  </r>
  <r>
    <n v="129"/>
    <s v="4''-B3B-LO-5119A-PP-2''"/>
    <x v="3"/>
    <x v="0"/>
    <n v="100.07300000000001"/>
    <n v="13"/>
    <x v="2"/>
    <x v="2"/>
  </r>
  <r>
    <n v="130"/>
    <s v="4''-B3B-LO-5113A-PP-2''"/>
    <x v="3"/>
    <x v="0"/>
    <n v="94.572749999999985"/>
    <n v="14"/>
    <x v="2"/>
    <x v="2"/>
  </r>
  <r>
    <n v="131"/>
    <s v="6&quot;-D3B-NG-2001"/>
    <x v="17"/>
    <x v="2"/>
    <n v="249.4256"/>
    <n v="5"/>
    <x v="1"/>
    <x v="1"/>
  </r>
  <r>
    <n v="132"/>
    <s v="1.1/2&quot;-A1E-IA-9003"/>
    <x v="21"/>
    <x v="2"/>
    <n v="18"/>
    <n v="16"/>
    <x v="1"/>
    <x v="1"/>
  </r>
  <r>
    <n v="133"/>
    <s v="1.1/2&quot;-A1E-IA-9002"/>
    <x v="17"/>
    <x v="2"/>
    <n v="18"/>
    <n v="14"/>
    <x v="1"/>
    <x v="1"/>
  </r>
  <r>
    <n v="134"/>
    <s v="6''-B3B-MR-5407B-PP-2''"/>
    <x v="22"/>
    <x v="0"/>
    <n v="192.27832999999998"/>
    <n v="12"/>
    <x v="2"/>
    <x v="2"/>
  </r>
  <r>
    <n v="135"/>
    <s v="6''-B3B-MR-5405B-PP-2''"/>
    <x v="22"/>
    <x v="0"/>
    <n v="931.70402000000024"/>
    <n v="34"/>
    <x v="2"/>
    <x v="2"/>
  </r>
  <r>
    <n v="136"/>
    <s v="V-713-TRIM-1"/>
    <x v="5"/>
    <x v="2"/>
    <n v="6.4566000000000008"/>
    <n v="12"/>
    <x v="1"/>
    <x v="1"/>
  </r>
  <r>
    <n v="137"/>
    <s v="V-941-TRIM-1"/>
    <x v="6"/>
    <x v="1"/>
    <n v="0.9"/>
    <n v="1"/>
    <x v="1"/>
    <x v="1"/>
  </r>
  <r>
    <n v="138"/>
    <s v="1-1/2&quot;-A3B-HF-9502"/>
    <x v="21"/>
    <x v="2"/>
    <n v="20"/>
    <n v="13"/>
    <x v="1"/>
    <x v="1"/>
  </r>
  <r>
    <n v="139"/>
    <s v="1.1/2&quot;-A1E-IA-9001"/>
    <x v="24"/>
    <x v="2"/>
    <n v="18"/>
    <n v="13"/>
    <x v="1"/>
    <x v="1"/>
  </r>
  <r>
    <n v="140"/>
    <s v="10''-B3B-LO-5103B-PP-2''"/>
    <x v="7"/>
    <x v="0"/>
    <n v="786.64776000000018"/>
    <n v="17"/>
    <x v="2"/>
    <x v="2"/>
  </r>
  <r>
    <n v="141"/>
    <s v="10''-B3B-MR-5201B-2''"/>
    <x v="7"/>
    <x v="0"/>
    <n v="947.27656000000013"/>
    <n v="30"/>
    <x v="2"/>
    <x v="2"/>
  </r>
  <r>
    <n v="142"/>
    <s v="10''-B3B-LO-5103A-PP-2''"/>
    <x v="3"/>
    <x v="0"/>
    <n v="654.99536000000012"/>
    <n v="16"/>
    <x v="2"/>
    <x v="2"/>
  </r>
  <r>
    <n v="143"/>
    <s v="6''-B3B-MR-5407A-PP-2''"/>
    <x v="22"/>
    <x v="0"/>
    <n v="419.67181999999997"/>
    <n v="22"/>
    <x v="2"/>
    <x v="2"/>
  </r>
  <r>
    <n v="144"/>
    <s v="6''-B3B-MR-5405A-PP-2''"/>
    <x v="8"/>
    <x v="0"/>
    <n v="605.64686999999981"/>
    <n v="32"/>
    <x v="2"/>
    <x v="2"/>
  </r>
  <r>
    <n v="145"/>
    <s v="6&quot;-A3B-HF-7301"/>
    <x v="5"/>
    <x v="2"/>
    <n v="763.58257000000015"/>
    <n v="22"/>
    <x v="1"/>
    <x v="1"/>
  </r>
  <r>
    <n v="146"/>
    <s v="8&quot;-B3B-NG--0304"/>
    <x v="24"/>
    <x v="2"/>
    <n v="30.4"/>
    <n v="1"/>
    <x v="1"/>
    <x v="1"/>
  </r>
  <r>
    <n v="147"/>
    <s v="8&quot;-B3B-NG--0301"/>
    <x v="24"/>
    <x v="2"/>
    <n v="30.4"/>
    <n v="1"/>
    <x v="1"/>
    <x v="1"/>
  </r>
  <r>
    <n v="148"/>
    <s v="6''-D3B-NG-1003"/>
    <x v="24"/>
    <x v="2"/>
    <n v="267.49639999999999"/>
    <n v="11"/>
    <x v="1"/>
    <x v="1"/>
  </r>
  <r>
    <n v="149"/>
    <s v="10''-B3B-LO-5103A-2''"/>
    <x v="7"/>
    <x v="0"/>
    <n v="24"/>
    <n v="2"/>
    <x v="2"/>
    <x v="2"/>
  </r>
  <r>
    <n v="150"/>
    <s v="6&quot;-D3B-NG-1003"/>
    <x v="24"/>
    <x v="2"/>
    <n v="36.700000000000003"/>
    <n v="1"/>
    <x v="1"/>
    <x v="1"/>
  </r>
  <r>
    <n v="151"/>
    <s v="6&quot;-A3B-HM-8202-H-3''"/>
    <x v="20"/>
    <x v="1"/>
    <n v="514.39632999999992"/>
    <n v="8"/>
    <x v="1"/>
    <x v="1"/>
  </r>
  <r>
    <n v="152"/>
    <s v="10''-B3B-LO-5103B-2''"/>
    <x v="7"/>
    <x v="0"/>
    <n v="24"/>
    <n v="2"/>
    <x v="2"/>
    <x v="2"/>
  </r>
  <r>
    <n v="153"/>
    <s v="8&quot;-A3B-HF-3005"/>
    <x v="26"/>
    <x v="2"/>
    <n v="17.7"/>
    <n v="1"/>
    <x v="1"/>
    <x v="1"/>
  </r>
  <r>
    <n v="154"/>
    <s v="6&quot;-A3B-HM-2205-H-3''"/>
    <x v="20"/>
    <x v="1"/>
    <n v="490.93471999999997"/>
    <n v="8"/>
    <x v="1"/>
    <x v="1"/>
  </r>
  <r>
    <n v="155"/>
    <s v="2&quot;-A1E-IA-9011"/>
    <x v="4"/>
    <x v="0"/>
    <n v="51.959199999999989"/>
    <n v="29"/>
    <x v="0"/>
    <x v="0"/>
  </r>
  <r>
    <n v="156"/>
    <s v="1&quot;-A3B-HF-9505"/>
    <x v="21"/>
    <x v="2"/>
    <n v="26.528400000000001"/>
    <n v="21"/>
    <x v="1"/>
    <x v="1"/>
  </r>
  <r>
    <n v="157"/>
    <s v="1&quot;-A3B-HF-9504"/>
    <x v="21"/>
    <x v="2"/>
    <n v="4.0644"/>
    <n v="5"/>
    <x v="1"/>
    <x v="1"/>
  </r>
  <r>
    <n v="158"/>
    <s v="1&quot;-A1E-IA-9005"/>
    <x v="3"/>
    <x v="0"/>
    <n v="7.9250000000000016"/>
    <n v="6"/>
    <x v="2"/>
    <x v="2"/>
  </r>
  <r>
    <n v="159"/>
    <s v="1''-A3B-WW-1003"/>
    <x v="24"/>
    <x v="2"/>
    <n v="3.1968000000000005"/>
    <n v="4"/>
    <x v="1"/>
    <x v="1"/>
  </r>
  <r>
    <n v="160"/>
    <s v="1&quot;-A1E-IA-9007"/>
    <x v="8"/>
    <x v="0"/>
    <n v="9.125"/>
    <n v="8"/>
    <x v="2"/>
    <x v="2"/>
  </r>
  <r>
    <n v="161"/>
    <s v="1''-B3B-MR-521/2A-C"/>
    <x v="3"/>
    <x v="0"/>
    <n v="2"/>
    <n v="1"/>
    <x v="2"/>
    <x v="2"/>
  </r>
  <r>
    <n v="162"/>
    <s v="1&quot;-A3B-WW-3005M"/>
    <x v="26"/>
    <x v="2"/>
    <n v="3.1320000000000001"/>
    <n v="4"/>
    <x v="1"/>
    <x v="1"/>
  </r>
  <r>
    <n v="163"/>
    <s v="1&quot;-A1E-IA-9006"/>
    <x v="7"/>
    <x v="0"/>
    <n v="7.9"/>
    <n v="6"/>
    <x v="2"/>
    <x v="2"/>
  </r>
  <r>
    <n v="164"/>
    <s v="1&quot;-A1E-IA-9008"/>
    <x v="22"/>
    <x v="0"/>
    <n v="9.1"/>
    <n v="8"/>
    <x v="2"/>
    <x v="2"/>
  </r>
  <r>
    <n v="165"/>
    <s v="1''-B3B-MR-5211A-C"/>
    <x v="3"/>
    <x v="0"/>
    <n v="1.4"/>
    <n v="1"/>
    <x v="2"/>
    <x v="2"/>
  </r>
  <r>
    <n v="166"/>
    <s v="1&quot;-A3B-WW-2003"/>
    <x v="17"/>
    <x v="2"/>
    <n v="0.9"/>
    <n v="1"/>
    <x v="1"/>
    <x v="1"/>
  </r>
  <r>
    <n v="167"/>
    <s v="3&quot;-A1E-BOG-7009-C-2&quot;"/>
    <x v="15"/>
    <x v="3"/>
    <n v="61.019099999999995"/>
    <n v="23"/>
    <x v="3"/>
    <x v="3"/>
  </r>
  <r>
    <n v="168"/>
    <s v="1&quot;-A3B-WW-2003M"/>
    <x v="17"/>
    <x v="2"/>
    <n v="24.256800000000002"/>
    <n v="7"/>
    <x v="1"/>
    <x v="1"/>
  </r>
  <r>
    <n v="169"/>
    <s v="1&quot;-D3B-N2-9102"/>
    <x v="17"/>
    <x v="2"/>
    <n v="2.4359999999999999"/>
    <n v="2"/>
    <x v="1"/>
    <x v="1"/>
  </r>
  <r>
    <n v="170"/>
    <s v="1&quot;-A3B-HF-9503"/>
    <x v="21"/>
    <x v="2"/>
    <n v="5.1516000000000002"/>
    <n v="1"/>
    <x v="1"/>
    <x v="1"/>
  </r>
  <r>
    <n v="171"/>
    <s v="2&quot;-A3B-WW-9501M"/>
    <x v="21"/>
    <x v="2"/>
    <n v="112.1324"/>
    <n v="14"/>
    <x v="1"/>
    <x v="1"/>
  </r>
  <r>
    <n v="172"/>
    <s v="2&quot;-A3B-HF-9501"/>
    <x v="21"/>
    <x v="2"/>
    <n v="38.058000000000007"/>
    <n v="11"/>
    <x v="1"/>
    <x v="1"/>
  </r>
  <r>
    <n v="173"/>
    <s v="2&quot;-A3B-WW-9501"/>
    <x v="21"/>
    <x v="2"/>
    <n v="2.7"/>
    <n v="1"/>
    <x v="1"/>
    <x v="1"/>
  </r>
  <r>
    <n v="174"/>
    <s v="2&quot;-A1E-IA-9004"/>
    <x v="26"/>
    <x v="2"/>
    <n v="19.926000000000002"/>
    <n v="8"/>
    <x v="1"/>
    <x v="1"/>
  </r>
  <r>
    <n v="175"/>
    <s v="2&quot;-B1E-LPG-4306A"/>
    <x v="24"/>
    <x v="2"/>
    <n v="49.468800000000009"/>
    <n v="5"/>
    <x v="1"/>
    <x v="1"/>
  </r>
  <r>
    <n v="176"/>
    <s v="2''-B3B-LO-51/27A-PP-2''"/>
    <x v="7"/>
    <x v="0"/>
    <n v="8"/>
    <n v="5"/>
    <x v="2"/>
    <x v="2"/>
  </r>
  <r>
    <n v="177"/>
    <s v="3&quot;-A3B-HM-3103-H-3''"/>
    <x v="20"/>
    <x v="1"/>
    <n v="191.82881999999998"/>
    <n v="12"/>
    <x v="1"/>
    <x v="1"/>
  </r>
  <r>
    <n v="178"/>
    <s v="3&quot;-A3B-HM-8201-H-3''"/>
    <x v="20"/>
    <x v="1"/>
    <n v="231.89411999999999"/>
    <n v="13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426C8-DFF7-4490-87A9-5B93528ED34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:F14" firstHeaderRow="1" firstDataRow="2" firstDataCol="1"/>
  <pivotFields count="10">
    <pivotField showAll="0"/>
    <pivotField showAll="0"/>
    <pivotField axis="axisRow" showAll="0">
      <items count="28">
        <item sd="0" x="2"/>
        <item sd="0" x="1"/>
        <item sd="0" x="17"/>
        <item sd="0" x="24"/>
        <item sd="0" x="21"/>
        <item sd="0" x="26"/>
        <item sd="0" x="23"/>
        <item sd="0" x="20"/>
        <item x="25"/>
        <item x="18"/>
        <item x="19"/>
        <item x="9"/>
        <item x="10"/>
        <item x="11"/>
        <item x="12"/>
        <item x="13"/>
        <item x="14"/>
        <item sd="0" x="5"/>
        <item sd="0" x="4"/>
        <item x="15"/>
        <item sd="0" x="6"/>
        <item sd="0" x="8"/>
        <item sd="0" x="22"/>
        <item sd="0" x="7"/>
        <item sd="0" x="3"/>
        <item x="16"/>
        <item sd="0" x="0"/>
        <item t="default"/>
      </items>
    </pivotField>
    <pivotField axis="axisRow" showAll="0">
      <items count="7">
        <item sd="0" x="1"/>
        <item sd="0" x="2"/>
        <item sd="0" x="0"/>
        <item sd="0" x="3"/>
        <item sd="0" x="5"/>
        <item sd="0" x="4"/>
        <item t="default" sd="0"/>
      </items>
    </pivotField>
    <pivotField dataField="1" numFmtId="43" showAll="0"/>
    <pivotField numFmtId="1" showAll="0"/>
    <pivotField axis="axisRow" numFmtId="14" showAll="0">
      <items count="5">
        <item x="2"/>
        <item x="0"/>
        <item x="1"/>
        <item x="3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axis="axisCol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7"/>
    <field x="3"/>
    <field x="2"/>
    <field x="6"/>
  </rowFields>
  <rowItems count="12">
    <i>
      <x/>
    </i>
    <i r="1">
      <x v="2"/>
    </i>
    <i>
      <x v="1"/>
    </i>
    <i r="1">
      <x v="2"/>
    </i>
    <i>
      <x v="2"/>
    </i>
    <i r="1">
      <x/>
    </i>
    <i r="1">
      <x v="1"/>
    </i>
    <i>
      <x v="3"/>
    </i>
    <i r="1">
      <x v="3"/>
    </i>
    <i r="1">
      <x v="4"/>
    </i>
    <i r="1">
      <x v="5"/>
    </i>
    <i t="grand">
      <x/>
    </i>
  </rowItems>
  <colFields count="1">
    <field x="8"/>
  </colFields>
  <colItems count="5">
    <i>
      <x v="229"/>
    </i>
    <i>
      <x v="243"/>
    </i>
    <i>
      <x v="258"/>
    </i>
    <i>
      <x v="265"/>
    </i>
    <i t="grand">
      <x/>
    </i>
  </colItems>
  <dataFields count="1">
    <dataField name="Soma de FABRICAÇÃO ( KG )" fld="4" baseField="0" baseItem="0" numFmtId="43"/>
  </dataFields>
  <formats count="13">
    <format dxfId="21">
      <pivotArea dataOnly="0" labelOnly="1" fieldPosition="0">
        <references count="1">
          <reference field="8" count="4">
            <x v="227"/>
            <x v="242"/>
            <x v="258"/>
            <x v="273"/>
          </reference>
        </references>
      </pivotArea>
    </format>
    <format dxfId="20">
      <pivotArea outline="0" collapsedLevelsAreSubtotals="1" fieldPosition="0"/>
    </format>
    <format dxfId="19">
      <pivotArea field="8" type="button" dataOnly="0" labelOnly="1" outline="0" axis="axisCol" fieldPosition="0"/>
    </format>
    <format dxfId="18">
      <pivotArea type="topRight" dataOnly="0" labelOnly="1" outline="0" fieldPosition="0"/>
    </format>
    <format dxfId="17">
      <pivotArea dataOnly="0" labelOnly="1" fieldPosition="0">
        <references count="1">
          <reference field="8" count="4">
            <x v="227"/>
            <x v="242"/>
            <x v="258"/>
            <x v="273"/>
          </reference>
        </references>
      </pivotArea>
    </format>
    <format dxfId="16">
      <pivotArea dataOnly="0" labelOnly="1" grandCol="1" outline="0" fieldPosition="0"/>
    </format>
    <format dxfId="15">
      <pivotArea dataOnly="0" labelOnly="1" fieldPosition="0">
        <references count="2">
          <reference field="3" count="1">
            <x v="0"/>
          </reference>
          <reference field="7" count="1" selected="0">
            <x v="1"/>
          </reference>
        </references>
      </pivotArea>
    </format>
    <format dxfId="14">
      <pivotArea dataOnly="0" labelOnly="1" fieldPosition="0">
        <references count="2">
          <reference field="3" count="1">
            <x v="0"/>
          </reference>
          <reference field="7" count="1" selected="0">
            <x v="0"/>
          </reference>
        </references>
      </pivotArea>
    </format>
    <format dxfId="13">
      <pivotArea outline="0" collapsedLevelsAreSubtotals="1" fieldPosition="0"/>
    </format>
    <format dxfId="12">
      <pivotArea field="8" type="button" dataOnly="0" labelOnly="1" outline="0" axis="axisCol" fieldPosition="0"/>
    </format>
    <format dxfId="11">
      <pivotArea type="topRight" dataOnly="0" labelOnly="1" outline="0" fieldPosition="0"/>
    </format>
    <format dxfId="10">
      <pivotArea dataOnly="0" labelOnly="1" fieldPosition="0">
        <references count="1">
          <reference field="8" count="4">
            <x v="229"/>
            <x v="243"/>
            <x v="258"/>
            <x v="265"/>
          </reference>
        </references>
      </pivotArea>
    </format>
    <format dxfId="9">
      <pivotArea dataOnly="0" labelOnly="1" grandCol="1" outline="0" fieldPosition="0"/>
    </format>
  </formats>
  <chartFormats count="10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5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7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9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6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1" dT="2026-09-03T18:08:31.32" personId="{14E91311-4B7E-43AD-818C-E24B3F5A39E0}" id="{43E52F22-0248-4509-A138-1BB1D541F506}">
    <text xml:space="preserve">Chegou com TAG B3B
</text>
  </threadedComment>
  <threadedComment ref="C102" dT="2026-09-03T18:08:36.88" personId="{14E91311-4B7E-43AD-818C-E24B3F5A39E0}" id="{9812B63E-61A9-478C-8D5E-CBECF6E77047}">
    <text xml:space="preserve">Chegou com TAG B3B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87B6-690F-4EA1-B315-3AE9259C2674}">
  <sheetPr>
    <tabColor theme="9"/>
  </sheetPr>
  <dimension ref="A1:E43"/>
  <sheetViews>
    <sheetView showGridLines="0" zoomScale="205" zoomScaleNormal="205" workbookViewId="0">
      <selection activeCell="C39" sqref="C39"/>
    </sheetView>
  </sheetViews>
  <sheetFormatPr defaultRowHeight="14.5" x14ac:dyDescent="0.35"/>
  <cols>
    <col min="1" max="1" width="54.6328125" bestFit="1" customWidth="1"/>
    <col min="2" max="2" width="17.36328125" style="36" customWidth="1"/>
    <col min="3" max="4" width="17.36328125" style="82" customWidth="1"/>
    <col min="5" max="5" width="13.1796875" style="36" bestFit="1" customWidth="1"/>
  </cols>
  <sheetData>
    <row r="1" spans="1:5" x14ac:dyDescent="0.35">
      <c r="A1" s="71" t="s">
        <v>267</v>
      </c>
      <c r="B1" s="74" t="s">
        <v>268</v>
      </c>
      <c r="C1" s="79" t="s">
        <v>234</v>
      </c>
      <c r="D1" s="79" t="s">
        <v>235</v>
      </c>
      <c r="E1" s="74" t="s">
        <v>269</v>
      </c>
    </row>
    <row r="2" spans="1:5" x14ac:dyDescent="0.35">
      <c r="A2" s="72" t="s">
        <v>270</v>
      </c>
      <c r="B2" s="78" t="s">
        <v>271</v>
      </c>
      <c r="C2" s="80">
        <v>46227.375</v>
      </c>
      <c r="D2" s="80">
        <v>46287.75</v>
      </c>
      <c r="E2" s="75"/>
    </row>
    <row r="3" spans="1:5" x14ac:dyDescent="0.35">
      <c r="A3" s="73" t="s">
        <v>272</v>
      </c>
      <c r="B3" s="77" t="s">
        <v>273</v>
      </c>
      <c r="C3" s="81">
        <v>46227.375</v>
      </c>
      <c r="D3" s="81">
        <v>46227.375</v>
      </c>
      <c r="E3" s="76"/>
    </row>
    <row r="4" spans="1:5" x14ac:dyDescent="0.35">
      <c r="A4" s="73" t="s">
        <v>274</v>
      </c>
      <c r="B4" s="77" t="s">
        <v>275</v>
      </c>
      <c r="C4" s="81">
        <v>46227.375</v>
      </c>
      <c r="D4" s="81">
        <v>46247.75</v>
      </c>
      <c r="E4" s="77">
        <v>2</v>
      </c>
    </row>
    <row r="5" spans="1:5" x14ac:dyDescent="0.35">
      <c r="A5" s="73" t="s">
        <v>276</v>
      </c>
      <c r="B5" s="77" t="s">
        <v>277</v>
      </c>
      <c r="C5" s="81">
        <v>46230.375</v>
      </c>
      <c r="D5" s="81">
        <v>46232.75</v>
      </c>
      <c r="E5" s="77" t="s">
        <v>278</v>
      </c>
    </row>
    <row r="6" spans="1:5" x14ac:dyDescent="0.35">
      <c r="A6" s="83" t="s">
        <v>279</v>
      </c>
      <c r="B6" s="84" t="s">
        <v>280</v>
      </c>
      <c r="C6" s="85">
        <v>46234.375</v>
      </c>
      <c r="D6" s="85">
        <v>46251.75</v>
      </c>
      <c r="E6" s="86"/>
    </row>
    <row r="7" spans="1:5" x14ac:dyDescent="0.35">
      <c r="A7" s="73" t="s">
        <v>281</v>
      </c>
      <c r="B7" s="77" t="s">
        <v>282</v>
      </c>
      <c r="C7" s="81">
        <v>46234.375</v>
      </c>
      <c r="D7" s="81">
        <v>46240.75</v>
      </c>
      <c r="E7" s="77" t="s">
        <v>283</v>
      </c>
    </row>
    <row r="8" spans="1:5" x14ac:dyDescent="0.35">
      <c r="A8" s="73" t="s">
        <v>284</v>
      </c>
      <c r="B8" s="77" t="s">
        <v>285</v>
      </c>
      <c r="C8" s="81">
        <v>46239.375</v>
      </c>
      <c r="D8" s="81">
        <v>46248.75</v>
      </c>
      <c r="E8" s="77" t="s">
        <v>286</v>
      </c>
    </row>
    <row r="9" spans="1:5" x14ac:dyDescent="0.35">
      <c r="A9" s="73" t="s">
        <v>287</v>
      </c>
      <c r="B9" s="77" t="s">
        <v>288</v>
      </c>
      <c r="C9" s="81">
        <v>46251.375</v>
      </c>
      <c r="D9" s="81">
        <v>46251.75</v>
      </c>
      <c r="E9" s="77">
        <v>7</v>
      </c>
    </row>
    <row r="10" spans="1:5" x14ac:dyDescent="0.35">
      <c r="A10" s="83" t="s">
        <v>289</v>
      </c>
      <c r="B10" s="84" t="s">
        <v>290</v>
      </c>
      <c r="C10" s="85">
        <v>46241.375</v>
      </c>
      <c r="D10" s="85">
        <v>46265.75</v>
      </c>
      <c r="E10" s="86"/>
    </row>
    <row r="11" spans="1:5" x14ac:dyDescent="0.35">
      <c r="A11" s="73" t="s">
        <v>291</v>
      </c>
      <c r="B11" s="77" t="s">
        <v>282</v>
      </c>
      <c r="C11" s="81">
        <v>46241.375</v>
      </c>
      <c r="D11" s="81">
        <v>46247.75</v>
      </c>
      <c r="E11" s="77">
        <v>6</v>
      </c>
    </row>
    <row r="12" spans="1:5" x14ac:dyDescent="0.35">
      <c r="A12" s="73" t="s">
        <v>292</v>
      </c>
      <c r="B12" s="77" t="s">
        <v>293</v>
      </c>
      <c r="C12" s="81">
        <v>46246.375</v>
      </c>
      <c r="D12" s="81">
        <v>46262.75</v>
      </c>
      <c r="E12" s="77" t="s">
        <v>294</v>
      </c>
    </row>
    <row r="13" spans="1:5" x14ac:dyDescent="0.35">
      <c r="A13" s="73" t="s">
        <v>295</v>
      </c>
      <c r="B13" s="77" t="s">
        <v>288</v>
      </c>
      <c r="C13" s="81">
        <v>46265.375</v>
      </c>
      <c r="D13" s="81">
        <v>46265.75</v>
      </c>
      <c r="E13" s="77">
        <v>11</v>
      </c>
    </row>
    <row r="14" spans="1:5" x14ac:dyDescent="0.35">
      <c r="A14" s="83" t="s">
        <v>296</v>
      </c>
      <c r="B14" s="84" t="s">
        <v>297</v>
      </c>
      <c r="C14" s="85">
        <v>46248.375</v>
      </c>
      <c r="D14" s="85">
        <v>46280.75</v>
      </c>
      <c r="E14" s="86"/>
    </row>
    <row r="15" spans="1:5" x14ac:dyDescent="0.35">
      <c r="A15" s="73" t="s">
        <v>298</v>
      </c>
      <c r="B15" s="77" t="s">
        <v>282</v>
      </c>
      <c r="C15" s="81">
        <v>46248.375</v>
      </c>
      <c r="D15" s="81">
        <v>46254.75</v>
      </c>
      <c r="E15" s="77">
        <v>10</v>
      </c>
    </row>
    <row r="16" spans="1:5" x14ac:dyDescent="0.35">
      <c r="A16" s="73" t="s">
        <v>299</v>
      </c>
      <c r="B16" s="77" t="s">
        <v>300</v>
      </c>
      <c r="C16" s="81">
        <v>46253.375</v>
      </c>
      <c r="D16" s="81">
        <v>46279.75</v>
      </c>
      <c r="E16" s="77" t="s">
        <v>301</v>
      </c>
    </row>
    <row r="17" spans="1:5" x14ac:dyDescent="0.35">
      <c r="A17" s="73" t="s">
        <v>302</v>
      </c>
      <c r="B17" s="77" t="s">
        <v>288</v>
      </c>
      <c r="C17" s="81">
        <v>46280.375</v>
      </c>
      <c r="D17" s="81">
        <v>46280.75</v>
      </c>
      <c r="E17" s="77">
        <v>15</v>
      </c>
    </row>
    <row r="18" spans="1:5" x14ac:dyDescent="0.35">
      <c r="A18" s="83" t="s">
        <v>303</v>
      </c>
      <c r="B18" s="84" t="s">
        <v>297</v>
      </c>
      <c r="C18" s="85">
        <v>46255.375</v>
      </c>
      <c r="D18" s="85">
        <v>46287.75</v>
      </c>
      <c r="E18" s="86"/>
    </row>
    <row r="19" spans="1:5" x14ac:dyDescent="0.35">
      <c r="A19" s="73" t="s">
        <v>304</v>
      </c>
      <c r="B19" s="77" t="s">
        <v>282</v>
      </c>
      <c r="C19" s="81">
        <v>46255.375</v>
      </c>
      <c r="D19" s="81">
        <v>46261.75</v>
      </c>
      <c r="E19" s="77">
        <v>14</v>
      </c>
    </row>
    <row r="20" spans="1:5" x14ac:dyDescent="0.35">
      <c r="A20" s="73" t="s">
        <v>299</v>
      </c>
      <c r="B20" s="77" t="s">
        <v>305</v>
      </c>
      <c r="C20" s="81">
        <v>46273.375</v>
      </c>
      <c r="D20" s="81">
        <v>46286.75</v>
      </c>
      <c r="E20" s="77" t="s">
        <v>306</v>
      </c>
    </row>
    <row r="21" spans="1:5" x14ac:dyDescent="0.35">
      <c r="A21" s="73" t="s">
        <v>307</v>
      </c>
      <c r="B21" s="77" t="s">
        <v>288</v>
      </c>
      <c r="C21" s="81">
        <v>46287.375</v>
      </c>
      <c r="D21" s="81">
        <v>46287.75</v>
      </c>
      <c r="E21" s="77">
        <v>19</v>
      </c>
    </row>
    <row r="23" spans="1:5" x14ac:dyDescent="0.35">
      <c r="A23" s="174"/>
      <c r="B23" s="174"/>
      <c r="C23" s="174"/>
      <c r="D23" s="174"/>
      <c r="E23" s="174"/>
    </row>
    <row r="24" spans="1:5" x14ac:dyDescent="0.35">
      <c r="A24" s="174"/>
      <c r="B24" s="174"/>
      <c r="C24" s="174"/>
      <c r="D24" s="174"/>
      <c r="E24" s="174"/>
    </row>
    <row r="25" spans="1:5" x14ac:dyDescent="0.35">
      <c r="A25" s="174"/>
      <c r="B25" s="174"/>
      <c r="C25" s="174"/>
      <c r="D25" s="174"/>
      <c r="E25" s="174"/>
    </row>
    <row r="26" spans="1:5" x14ac:dyDescent="0.35">
      <c r="A26" s="174"/>
      <c r="B26" s="174"/>
      <c r="C26" s="174"/>
      <c r="D26" s="174"/>
      <c r="E26" s="174"/>
    </row>
    <row r="27" spans="1:5" x14ac:dyDescent="0.35">
      <c r="A27" s="174"/>
      <c r="B27" s="174"/>
      <c r="C27" s="174"/>
      <c r="D27" s="174"/>
      <c r="E27" s="174"/>
    </row>
    <row r="28" spans="1:5" x14ac:dyDescent="0.35">
      <c r="A28" s="174"/>
      <c r="B28" s="174"/>
      <c r="C28" s="174"/>
      <c r="D28" s="174"/>
      <c r="E28" s="174"/>
    </row>
    <row r="29" spans="1:5" x14ac:dyDescent="0.35">
      <c r="A29" s="174"/>
      <c r="B29" s="174"/>
      <c r="C29" s="174"/>
      <c r="D29" s="174"/>
      <c r="E29" s="174"/>
    </row>
    <row r="30" spans="1:5" x14ac:dyDescent="0.35">
      <c r="A30" s="174"/>
      <c r="B30" s="174"/>
      <c r="C30" s="174"/>
      <c r="D30" s="174"/>
      <c r="E30" s="174"/>
    </row>
    <row r="31" spans="1:5" x14ac:dyDescent="0.35">
      <c r="A31" s="174"/>
      <c r="B31" s="174"/>
      <c r="C31" s="174"/>
      <c r="D31" s="174"/>
      <c r="E31" s="174"/>
    </row>
    <row r="32" spans="1:5" x14ac:dyDescent="0.35">
      <c r="A32" s="174"/>
      <c r="B32" s="174"/>
      <c r="C32" s="174"/>
      <c r="D32" s="174"/>
      <c r="E32" s="174"/>
    </row>
    <row r="33" spans="1:5" x14ac:dyDescent="0.35">
      <c r="A33" s="174"/>
      <c r="B33" s="174"/>
      <c r="C33" s="174"/>
      <c r="D33" s="174"/>
      <c r="E33" s="174"/>
    </row>
    <row r="34" spans="1:5" x14ac:dyDescent="0.35">
      <c r="A34" s="174"/>
      <c r="B34" s="174"/>
      <c r="C34" s="174"/>
      <c r="D34" s="174"/>
      <c r="E34" s="174"/>
    </row>
    <row r="35" spans="1:5" x14ac:dyDescent="0.35">
      <c r="B35"/>
      <c r="C35"/>
      <c r="D35"/>
      <c r="E35"/>
    </row>
    <row r="36" spans="1:5" x14ac:dyDescent="0.35">
      <c r="B36"/>
      <c r="C36"/>
      <c r="D36"/>
      <c r="E36"/>
    </row>
    <row r="37" spans="1:5" x14ac:dyDescent="0.35">
      <c r="B37"/>
      <c r="C37"/>
      <c r="D37"/>
      <c r="E37"/>
    </row>
    <row r="38" spans="1:5" x14ac:dyDescent="0.35">
      <c r="B38"/>
      <c r="C38"/>
      <c r="D38"/>
      <c r="E38"/>
    </row>
    <row r="39" spans="1:5" x14ac:dyDescent="0.35">
      <c r="B39"/>
      <c r="C39"/>
      <c r="D39"/>
      <c r="E39"/>
    </row>
    <row r="40" spans="1:5" x14ac:dyDescent="0.35">
      <c r="B40"/>
      <c r="C40"/>
      <c r="D40"/>
      <c r="E40"/>
    </row>
    <row r="41" spans="1:5" x14ac:dyDescent="0.35">
      <c r="B41"/>
      <c r="C41"/>
      <c r="D41"/>
      <c r="E41"/>
    </row>
    <row r="42" spans="1:5" x14ac:dyDescent="0.35">
      <c r="B42"/>
      <c r="C42"/>
      <c r="D42"/>
      <c r="E42"/>
    </row>
    <row r="43" spans="1:5" x14ac:dyDescent="0.35">
      <c r="B43"/>
      <c r="C43"/>
      <c r="D43"/>
      <c r="E43"/>
    </row>
  </sheetData>
  <mergeCells count="1">
    <mergeCell ref="A23:E3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DE3B-C084-4520-BA7F-2F97052ADB07}">
  <sheetPr>
    <tabColor theme="9"/>
  </sheetPr>
  <dimension ref="B1:T35"/>
  <sheetViews>
    <sheetView showGridLines="0" zoomScaleNormal="100" workbookViewId="0">
      <selection activeCell="C39" sqref="C39"/>
    </sheetView>
  </sheetViews>
  <sheetFormatPr defaultRowHeight="14.5" x14ac:dyDescent="0.35"/>
  <cols>
    <col min="2" max="2" width="19.81640625" customWidth="1"/>
    <col min="3" max="4" width="12.08984375" customWidth="1"/>
    <col min="5" max="5" width="19.81640625" customWidth="1"/>
    <col min="6" max="6" width="3.81640625" customWidth="1"/>
    <col min="7" max="7" width="31.36328125" bestFit="1" customWidth="1"/>
    <col min="8" max="8" width="9.90625" bestFit="1" customWidth="1"/>
    <col min="9" max="9" width="1.54296875" customWidth="1"/>
    <col min="10" max="18" width="11.36328125" customWidth="1"/>
    <col min="19" max="19" width="12.36328125" bestFit="1" customWidth="1"/>
    <col min="20" max="20" width="11.81640625" bestFit="1" customWidth="1"/>
  </cols>
  <sheetData>
    <row r="1" spans="2:20" ht="15" thickBot="1" x14ac:dyDescent="0.4"/>
    <row r="2" spans="2:20" ht="15" thickBot="1" x14ac:dyDescent="0.4">
      <c r="B2" s="70"/>
      <c r="C2" s="69" t="s">
        <v>266</v>
      </c>
      <c r="D2" s="68"/>
      <c r="E2" s="67"/>
      <c r="J2" s="66">
        <v>46230</v>
      </c>
      <c r="K2" s="66">
        <f t="shared" ref="K2:R2" si="0">J2+7</f>
        <v>46237</v>
      </c>
      <c r="L2" s="66">
        <f t="shared" si="0"/>
        <v>46244</v>
      </c>
      <c r="M2" s="66">
        <f t="shared" si="0"/>
        <v>46251</v>
      </c>
      <c r="N2" s="66">
        <f t="shared" si="0"/>
        <v>46258</v>
      </c>
      <c r="O2" s="66">
        <f t="shared" si="0"/>
        <v>46265</v>
      </c>
      <c r="P2" s="66">
        <f t="shared" si="0"/>
        <v>46272</v>
      </c>
      <c r="Q2" s="66">
        <f t="shared" si="0"/>
        <v>46279</v>
      </c>
      <c r="R2" s="66">
        <f t="shared" si="0"/>
        <v>46286</v>
      </c>
    </row>
    <row r="3" spans="2:20" ht="6" customHeight="1" thickBot="1" x14ac:dyDescent="0.4">
      <c r="B3" s="65"/>
      <c r="C3" s="64"/>
      <c r="D3" s="64"/>
      <c r="E3" s="63" t="s">
        <v>265</v>
      </c>
    </row>
    <row r="4" spans="2:20" ht="28.25" customHeight="1" x14ac:dyDescent="0.35">
      <c r="B4" s="62" t="s">
        <v>264</v>
      </c>
      <c r="C4" s="61" t="s">
        <v>263</v>
      </c>
      <c r="D4" s="61" t="s">
        <v>262</v>
      </c>
      <c r="E4" s="60" t="s">
        <v>261</v>
      </c>
      <c r="G4" s="40" t="s">
        <v>260</v>
      </c>
      <c r="H4" s="41">
        <f>AVERAGE(J4:R4)</f>
        <v>2.9316196283161449</v>
      </c>
      <c r="I4" s="40"/>
      <c r="J4" s="39">
        <f t="shared" ref="J4:R4" si="1">$C$6*J5</f>
        <v>1.5871826013176582</v>
      </c>
      <c r="K4" s="39">
        <f t="shared" si="1"/>
        <v>2.772901368184379</v>
      </c>
      <c r="L4" s="39">
        <f t="shared" si="1"/>
        <v>3.491801722898848</v>
      </c>
      <c r="M4" s="39">
        <f t="shared" si="1"/>
        <v>3.6972018242458393</v>
      </c>
      <c r="N4" s="39">
        <f t="shared" si="1"/>
        <v>3.6972018242458393</v>
      </c>
      <c r="O4" s="39">
        <f t="shared" si="1"/>
        <v>3.491801722898848</v>
      </c>
      <c r="P4" s="39">
        <f t="shared" si="1"/>
        <v>3.2864016215518572</v>
      </c>
      <c r="Q4" s="39">
        <f t="shared" si="1"/>
        <v>2.772901368184379</v>
      </c>
      <c r="R4" s="39">
        <f t="shared" si="1"/>
        <v>1.5871826013176582</v>
      </c>
      <c r="S4" s="39">
        <f>SUM(J4:R4)</f>
        <v>26.384576654845304</v>
      </c>
    </row>
    <row r="5" spans="2:20" x14ac:dyDescent="0.35">
      <c r="B5" s="59" t="s">
        <v>259</v>
      </c>
      <c r="C5" s="58">
        <v>26.72</v>
      </c>
      <c r="D5" s="57">
        <f>C5*E5</f>
        <v>11447.706133444151</v>
      </c>
      <c r="E5" s="56">
        <v>428.43211577261047</v>
      </c>
      <c r="G5" s="40" t="s">
        <v>258</v>
      </c>
      <c r="H5" s="51">
        <f>C6</f>
        <v>26.72</v>
      </c>
      <c r="I5" s="40"/>
      <c r="J5" s="55">
        <f t="shared" ref="J5:R5" si="2">J6/$H$6</f>
        <v>5.9400546456499184E-2</v>
      </c>
      <c r="K5" s="55">
        <f t="shared" si="2"/>
        <v>0.10377624880929563</v>
      </c>
      <c r="L5" s="55">
        <f t="shared" si="2"/>
        <v>0.13068120220429821</v>
      </c>
      <c r="M5" s="55">
        <f t="shared" si="2"/>
        <v>0.13836833174572752</v>
      </c>
      <c r="N5" s="55">
        <f t="shared" si="2"/>
        <v>0.13836833174572752</v>
      </c>
      <c r="O5" s="55">
        <f t="shared" si="2"/>
        <v>0.13068120220429821</v>
      </c>
      <c r="P5" s="55">
        <f t="shared" si="2"/>
        <v>0.12299407266286891</v>
      </c>
      <c r="Q5" s="55">
        <f t="shared" si="2"/>
        <v>0.10377624880929563</v>
      </c>
      <c r="R5" s="55">
        <f t="shared" si="2"/>
        <v>5.9400546456499184E-2</v>
      </c>
      <c r="S5" s="55">
        <f>SUM(J5:R5)</f>
        <v>0.98744673109450987</v>
      </c>
    </row>
    <row r="6" spans="2:20" ht="15" thickBot="1" x14ac:dyDescent="0.4">
      <c r="B6" s="54" t="s">
        <v>236</v>
      </c>
      <c r="C6" s="53">
        <f>SUM(C4:C5)</f>
        <v>26.72</v>
      </c>
      <c r="D6" s="53">
        <f>SUM(D4:D5)</f>
        <v>11447.706133444151</v>
      </c>
      <c r="E6" s="52">
        <f>SUM(E4:E5)</f>
        <v>428.43211577261047</v>
      </c>
      <c r="G6" s="40" t="s">
        <v>257</v>
      </c>
      <c r="H6" s="51">
        <f>D6</f>
        <v>11447.706133444151</v>
      </c>
      <c r="I6" s="40"/>
      <c r="J6" s="50">
        <f>J16*40</f>
        <v>680</v>
      </c>
      <c r="K6" s="50">
        <f t="shared" ref="K6:Q6" si="3">K16*44</f>
        <v>1188</v>
      </c>
      <c r="L6" s="50">
        <f t="shared" si="3"/>
        <v>1496</v>
      </c>
      <c r="M6" s="50">
        <f t="shared" si="3"/>
        <v>1584</v>
      </c>
      <c r="N6" s="50">
        <f t="shared" si="3"/>
        <v>1584</v>
      </c>
      <c r="O6" s="50">
        <f t="shared" si="3"/>
        <v>1496</v>
      </c>
      <c r="P6" s="50">
        <f t="shared" si="3"/>
        <v>1408</v>
      </c>
      <c r="Q6" s="50">
        <f t="shared" si="3"/>
        <v>1188</v>
      </c>
      <c r="R6" s="50">
        <f>R16*40</f>
        <v>680</v>
      </c>
      <c r="S6" s="50">
        <f>SUM(J6:R6)</f>
        <v>11304</v>
      </c>
    </row>
    <row r="7" spans="2:20" x14ac:dyDescent="0.35">
      <c r="G7" s="48" t="s">
        <v>256</v>
      </c>
      <c r="H7" s="48" t="s">
        <v>255</v>
      </c>
      <c r="I7" s="49" t="s">
        <v>254</v>
      </c>
      <c r="J7" s="48" t="s">
        <v>253</v>
      </c>
      <c r="K7" s="48" t="s">
        <v>252</v>
      </c>
      <c r="L7" s="48" t="s">
        <v>251</v>
      </c>
      <c r="M7" s="48" t="s">
        <v>250</v>
      </c>
      <c r="N7" s="48" t="s">
        <v>249</v>
      </c>
      <c r="O7" s="48" t="s">
        <v>248</v>
      </c>
      <c r="P7" s="48" t="s">
        <v>247</v>
      </c>
      <c r="Q7" s="48" t="s">
        <v>246</v>
      </c>
      <c r="R7" s="48" t="s">
        <v>245</v>
      </c>
      <c r="S7" s="48" t="s">
        <v>236</v>
      </c>
    </row>
    <row r="8" spans="2:20" x14ac:dyDescent="0.35">
      <c r="G8" s="45" t="s">
        <v>244</v>
      </c>
      <c r="H8" s="44">
        <f t="shared" ref="H8:H15" si="4">I8/100%</f>
        <v>3.2786999999999997E-2</v>
      </c>
      <c r="I8" s="43">
        <v>3.2786999999999997E-2</v>
      </c>
      <c r="J8" s="42">
        <f>ROUNDUP($H$6*$H8/44/9,0)</f>
        <v>1</v>
      </c>
      <c r="K8" s="42">
        <f t="shared" ref="K8:Q9" si="5">ROUNDUP($H$6*$H8/40/9,0)</f>
        <v>2</v>
      </c>
      <c r="L8" s="42">
        <f t="shared" si="5"/>
        <v>2</v>
      </c>
      <c r="M8" s="42">
        <f t="shared" si="5"/>
        <v>2</v>
      </c>
      <c r="N8" s="42">
        <f t="shared" si="5"/>
        <v>2</v>
      </c>
      <c r="O8" s="42">
        <f t="shared" si="5"/>
        <v>2</v>
      </c>
      <c r="P8" s="42">
        <f t="shared" si="5"/>
        <v>2</v>
      </c>
      <c r="Q8" s="42">
        <f t="shared" si="5"/>
        <v>2</v>
      </c>
      <c r="R8" s="42">
        <f>ROUNDUP($H$6*$H8/44/9,0)</f>
        <v>1</v>
      </c>
      <c r="S8" s="42">
        <f t="shared" ref="S8:S15" si="6">MAX(J8:R8)</f>
        <v>2</v>
      </c>
    </row>
    <row r="9" spans="2:20" x14ac:dyDescent="0.35">
      <c r="E9" s="46"/>
      <c r="G9" s="45" t="s">
        <v>243</v>
      </c>
      <c r="H9" s="44">
        <f t="shared" si="4"/>
        <v>3.2786999999999997E-2</v>
      </c>
      <c r="I9" s="43">
        <v>3.2786999999999997E-2</v>
      </c>
      <c r="J9" s="42">
        <f>ROUNDUP($H$6*$H9/44/9,0)</f>
        <v>1</v>
      </c>
      <c r="K9" s="42">
        <f t="shared" si="5"/>
        <v>2</v>
      </c>
      <c r="L9" s="42">
        <f t="shared" si="5"/>
        <v>2</v>
      </c>
      <c r="M9" s="42">
        <f t="shared" si="5"/>
        <v>2</v>
      </c>
      <c r="N9" s="42">
        <f t="shared" si="5"/>
        <v>2</v>
      </c>
      <c r="O9" s="42">
        <f t="shared" si="5"/>
        <v>2</v>
      </c>
      <c r="P9" s="42">
        <f t="shared" si="5"/>
        <v>2</v>
      </c>
      <c r="Q9" s="42">
        <f t="shared" si="5"/>
        <v>2</v>
      </c>
      <c r="R9" s="42">
        <f>ROUNDUP($H$6*$H9/44/9,0)</f>
        <v>1</v>
      </c>
      <c r="S9" s="42">
        <f t="shared" si="6"/>
        <v>2</v>
      </c>
      <c r="T9" s="47"/>
    </row>
    <row r="10" spans="2:20" x14ac:dyDescent="0.35">
      <c r="G10" s="45" t="s">
        <v>242</v>
      </c>
      <c r="H10" s="44">
        <f t="shared" si="4"/>
        <v>0.262295</v>
      </c>
      <c r="I10" s="43">
        <v>0.262295</v>
      </c>
      <c r="J10" s="42">
        <f>ROUNDDOWN($H$6*$H10/70/9,0)</f>
        <v>4</v>
      </c>
      <c r="K10" s="42">
        <f>ROUNDDOWN($H$6*$H10/50/9,0)</f>
        <v>6</v>
      </c>
      <c r="L10" s="42">
        <f>ROUNDUP($H$6*$H10/40/9,0)</f>
        <v>9</v>
      </c>
      <c r="M10" s="42">
        <f>ROUNDUP($H$6*$H10/35/9,0)</f>
        <v>10</v>
      </c>
      <c r="N10" s="42">
        <f>ROUNDUP($H$6*$H10/35/9,0)</f>
        <v>10</v>
      </c>
      <c r="O10" s="42">
        <f>ROUNDUP($H$6*$H10/40/9,0)</f>
        <v>9</v>
      </c>
      <c r="P10" s="42">
        <f>ROUNDDOWN($H$6*$H10/40/9,0)</f>
        <v>8</v>
      </c>
      <c r="Q10" s="42">
        <f>ROUNDDOWN($H$6*$H10/50/9,0)</f>
        <v>6</v>
      </c>
      <c r="R10" s="42">
        <f>ROUNDDOWN($H$6*$H10/70/9,0)</f>
        <v>4</v>
      </c>
      <c r="S10" s="42">
        <f t="shared" si="6"/>
        <v>10</v>
      </c>
    </row>
    <row r="11" spans="2:20" x14ac:dyDescent="0.35">
      <c r="D11" s="46"/>
      <c r="G11" s="45" t="s">
        <v>241</v>
      </c>
      <c r="H11" s="44">
        <f t="shared" si="4"/>
        <v>0.262295</v>
      </c>
      <c r="I11" s="43">
        <v>0.262295</v>
      </c>
      <c r="J11" s="42">
        <f>ROUNDDOWN($H$6*$H11/70/9,0)</f>
        <v>4</v>
      </c>
      <c r="K11" s="42">
        <f>ROUNDDOWN($H$6*$H11/50/9,0)</f>
        <v>6</v>
      </c>
      <c r="L11" s="42">
        <f>ROUNDUP($H$6*$H11/40/9,0)</f>
        <v>9</v>
      </c>
      <c r="M11" s="42">
        <f>ROUNDUP($H$6*$H11/35/9,0)</f>
        <v>10</v>
      </c>
      <c r="N11" s="42">
        <f>ROUNDUP($H$6*$H11/35/9,0)</f>
        <v>10</v>
      </c>
      <c r="O11" s="42">
        <f>ROUNDUP($H$6*$H11/40/9,0)</f>
        <v>9</v>
      </c>
      <c r="P11" s="42">
        <f>ROUNDDOWN($H$6*$H11/40/9,0)</f>
        <v>8</v>
      </c>
      <c r="Q11" s="42">
        <f>ROUNDDOWN($H$6*$H11/50/9,0)</f>
        <v>6</v>
      </c>
      <c r="R11" s="42">
        <f>ROUNDDOWN($H$6*$H11/70/9,0)</f>
        <v>4</v>
      </c>
      <c r="S11" s="42">
        <f t="shared" si="6"/>
        <v>10</v>
      </c>
    </row>
    <row r="12" spans="2:20" x14ac:dyDescent="0.35">
      <c r="D12" s="46"/>
      <c r="G12" s="45" t="s">
        <v>240</v>
      </c>
      <c r="H12" s="44">
        <f t="shared" si="4"/>
        <v>6.5573999999999993E-2</v>
      </c>
      <c r="I12" s="43">
        <v>6.5573999999999993E-2</v>
      </c>
      <c r="J12" s="42">
        <f>ROUNDDOWN($H$6*$H12/44/9,0)</f>
        <v>1</v>
      </c>
      <c r="K12" s="42">
        <f t="shared" ref="K12:Q12" si="7">ROUNDDOWN($H$6*$H12/60/9,0)</f>
        <v>1</v>
      </c>
      <c r="L12" s="42">
        <f t="shared" si="7"/>
        <v>1</v>
      </c>
      <c r="M12" s="42">
        <f t="shared" si="7"/>
        <v>1</v>
      </c>
      <c r="N12" s="42">
        <f t="shared" si="7"/>
        <v>1</v>
      </c>
      <c r="O12" s="42">
        <f t="shared" si="7"/>
        <v>1</v>
      </c>
      <c r="P12" s="42">
        <f t="shared" si="7"/>
        <v>1</v>
      </c>
      <c r="Q12" s="42">
        <f t="shared" si="7"/>
        <v>1</v>
      </c>
      <c r="R12" s="42">
        <f>ROUNDDOWN($H$6*$H12/44/9,0)</f>
        <v>1</v>
      </c>
      <c r="S12" s="42">
        <f t="shared" si="6"/>
        <v>1</v>
      </c>
    </row>
    <row r="13" spans="2:20" x14ac:dyDescent="0.35">
      <c r="G13" s="45" t="s">
        <v>239</v>
      </c>
      <c r="H13" s="44">
        <f t="shared" si="4"/>
        <v>1.6393000000000001E-2</v>
      </c>
      <c r="I13" s="43">
        <v>1.6393000000000001E-2</v>
      </c>
      <c r="J13" s="42">
        <f>ROUNDUP($H$6*$H13/44/9,0)</f>
        <v>1</v>
      </c>
      <c r="K13" s="42">
        <f t="shared" ref="K13:Q13" si="8">ROUNDUP($H$6*$H13/40/9,0)</f>
        <v>1</v>
      </c>
      <c r="L13" s="42">
        <f t="shared" si="8"/>
        <v>1</v>
      </c>
      <c r="M13" s="42">
        <f t="shared" si="8"/>
        <v>1</v>
      </c>
      <c r="N13" s="42">
        <f t="shared" si="8"/>
        <v>1</v>
      </c>
      <c r="O13" s="42">
        <f t="shared" si="8"/>
        <v>1</v>
      </c>
      <c r="P13" s="42">
        <f t="shared" si="8"/>
        <v>1</v>
      </c>
      <c r="Q13" s="42">
        <f t="shared" si="8"/>
        <v>1</v>
      </c>
      <c r="R13" s="42">
        <f>ROUNDUP($H$6*$H13/44/9,0)</f>
        <v>1</v>
      </c>
      <c r="S13" s="42">
        <f t="shared" si="6"/>
        <v>1</v>
      </c>
    </row>
    <row r="14" spans="2:20" x14ac:dyDescent="0.35">
      <c r="G14" s="45" t="s">
        <v>238</v>
      </c>
      <c r="H14" s="44">
        <f t="shared" si="4"/>
        <v>0.19672100000000001</v>
      </c>
      <c r="I14" s="43">
        <v>0.19672100000000001</v>
      </c>
      <c r="J14" s="42">
        <f>ROUNDDOWN($H$6*$H14/70/9,0)</f>
        <v>3</v>
      </c>
      <c r="K14" s="42">
        <f>ROUNDDOWN($H$6*$H14/40/9,0)</f>
        <v>6</v>
      </c>
      <c r="L14" s="42">
        <f>ROUNDUP($H$6*$H14/40/9,0)</f>
        <v>7</v>
      </c>
      <c r="M14" s="42">
        <f>ROUNDUP($H$6*$H14/40/9,0)</f>
        <v>7</v>
      </c>
      <c r="N14" s="42">
        <f>ROUNDUP($H$6*$H14/40/9,0)</f>
        <v>7</v>
      </c>
      <c r="O14" s="42">
        <f>ROUNDUP($H$6*$H14/40/9,0)</f>
        <v>7</v>
      </c>
      <c r="P14" s="42">
        <f>ROUNDUP($H$6*$H14/40/9,0)</f>
        <v>7</v>
      </c>
      <c r="Q14" s="42">
        <f>ROUNDDOWN($H$6*$H14/40/9,0)</f>
        <v>6</v>
      </c>
      <c r="R14" s="42">
        <f>ROUNDDOWN($H$6*$H14/70/9,0)</f>
        <v>3</v>
      </c>
      <c r="S14" s="42">
        <f t="shared" si="6"/>
        <v>7</v>
      </c>
    </row>
    <row r="15" spans="2:20" x14ac:dyDescent="0.35">
      <c r="G15" s="45" t="s">
        <v>237</v>
      </c>
      <c r="H15" s="44">
        <f t="shared" si="4"/>
        <v>0.13114799999999999</v>
      </c>
      <c r="I15" s="43">
        <v>0.13114799999999999</v>
      </c>
      <c r="J15" s="42">
        <f>ROUNDDOWN($H$6*$H15/70/9,0)</f>
        <v>2</v>
      </c>
      <c r="K15" s="42">
        <f t="shared" ref="K15:Q15" si="9">ROUNDDOWN($H$6*$H15/44/9,0)</f>
        <v>3</v>
      </c>
      <c r="L15" s="42">
        <f t="shared" si="9"/>
        <v>3</v>
      </c>
      <c r="M15" s="42">
        <f t="shared" si="9"/>
        <v>3</v>
      </c>
      <c r="N15" s="42">
        <f t="shared" si="9"/>
        <v>3</v>
      </c>
      <c r="O15" s="42">
        <f t="shared" si="9"/>
        <v>3</v>
      </c>
      <c r="P15" s="42">
        <f t="shared" si="9"/>
        <v>3</v>
      </c>
      <c r="Q15" s="42">
        <f t="shared" si="9"/>
        <v>3</v>
      </c>
      <c r="R15" s="42">
        <f>ROUNDDOWN($H$6*$H15/70/9,0)</f>
        <v>2</v>
      </c>
      <c r="S15" s="42">
        <f t="shared" si="6"/>
        <v>3</v>
      </c>
    </row>
    <row r="16" spans="2:20" x14ac:dyDescent="0.35">
      <c r="G16" s="40" t="s">
        <v>236</v>
      </c>
      <c r="H16" s="41"/>
      <c r="I16" s="40"/>
      <c r="J16" s="39">
        <f t="shared" ref="J16:R16" si="10">SUM(J8:J15)</f>
        <v>17</v>
      </c>
      <c r="K16" s="39">
        <f t="shared" si="10"/>
        <v>27</v>
      </c>
      <c r="L16" s="39">
        <f t="shared" si="10"/>
        <v>34</v>
      </c>
      <c r="M16" s="39">
        <f t="shared" si="10"/>
        <v>36</v>
      </c>
      <c r="N16" s="39">
        <f t="shared" si="10"/>
        <v>36</v>
      </c>
      <c r="O16" s="39">
        <f t="shared" si="10"/>
        <v>34</v>
      </c>
      <c r="P16" s="39">
        <f t="shared" si="10"/>
        <v>32</v>
      </c>
      <c r="Q16" s="39">
        <f t="shared" si="10"/>
        <v>27</v>
      </c>
      <c r="R16" s="39">
        <f t="shared" si="10"/>
        <v>17</v>
      </c>
      <c r="S16" s="39"/>
    </row>
    <row r="17" spans="10:19" x14ac:dyDescent="0.35">
      <c r="J17" s="38"/>
      <c r="K17" s="38"/>
      <c r="L17" s="38"/>
      <c r="M17" s="38"/>
      <c r="N17" s="38"/>
      <c r="O17" s="38"/>
      <c r="P17" s="38"/>
      <c r="Q17" s="38"/>
      <c r="R17" s="38"/>
      <c r="S17" s="38"/>
    </row>
    <row r="26" spans="10:19" x14ac:dyDescent="0.35">
      <c r="J26" s="37"/>
      <c r="K26" s="37"/>
      <c r="L26" s="37"/>
      <c r="M26" s="37"/>
      <c r="N26" s="37"/>
      <c r="O26" s="37"/>
      <c r="P26" s="37"/>
      <c r="Q26" s="37"/>
      <c r="R26" s="37"/>
    </row>
    <row r="27" spans="10:19" x14ac:dyDescent="0.35">
      <c r="J27" s="37"/>
      <c r="K27" s="37"/>
      <c r="L27" s="37"/>
      <c r="M27" s="37"/>
      <c r="N27" s="37"/>
      <c r="O27" s="37"/>
      <c r="P27" s="37"/>
      <c r="Q27" s="37"/>
      <c r="R27" s="37"/>
    </row>
    <row r="28" spans="10:19" x14ac:dyDescent="0.35">
      <c r="J28" s="37"/>
      <c r="K28" s="37"/>
      <c r="L28" s="37"/>
      <c r="M28" s="37"/>
      <c r="N28" s="37"/>
      <c r="O28" s="37"/>
      <c r="P28" s="37"/>
      <c r="Q28" s="37"/>
      <c r="R28" s="37"/>
    </row>
    <row r="29" spans="10:19" x14ac:dyDescent="0.35">
      <c r="J29" s="37"/>
      <c r="K29" s="37"/>
      <c r="L29" s="37"/>
      <c r="M29" s="37"/>
      <c r="N29" s="37"/>
      <c r="O29" s="37"/>
      <c r="P29" s="37"/>
      <c r="Q29" s="37"/>
      <c r="R29" s="37"/>
    </row>
    <row r="30" spans="10:19" x14ac:dyDescent="0.35">
      <c r="J30" s="37"/>
      <c r="K30" s="37"/>
      <c r="L30" s="37"/>
      <c r="M30" s="37"/>
      <c r="N30" s="37"/>
      <c r="O30" s="37"/>
      <c r="P30" s="37"/>
      <c r="Q30" s="37"/>
      <c r="R30" s="37"/>
    </row>
    <row r="31" spans="10:19" x14ac:dyDescent="0.35">
      <c r="J31" s="37"/>
      <c r="K31" s="37"/>
      <c r="L31" s="37"/>
      <c r="M31" s="37"/>
      <c r="N31" s="37"/>
      <c r="O31" s="37"/>
      <c r="P31" s="37"/>
      <c r="Q31" s="37"/>
      <c r="R31" s="37"/>
    </row>
    <row r="32" spans="10:19" x14ac:dyDescent="0.35">
      <c r="J32" s="37"/>
      <c r="K32" s="37"/>
      <c r="L32" s="37"/>
      <c r="M32" s="37"/>
      <c r="N32" s="37"/>
      <c r="O32" s="37"/>
      <c r="P32" s="37"/>
      <c r="Q32" s="37"/>
      <c r="R32" s="37"/>
    </row>
    <row r="33" spans="10:18" x14ac:dyDescent="0.35">
      <c r="J33" s="37"/>
      <c r="K33" s="37"/>
      <c r="L33" s="37"/>
      <c r="M33" s="37"/>
      <c r="N33" s="37"/>
      <c r="O33" s="37"/>
      <c r="P33" s="37"/>
      <c r="Q33" s="37"/>
      <c r="R33" s="37"/>
    </row>
    <row r="34" spans="10:18" x14ac:dyDescent="0.35">
      <c r="J34" s="37"/>
      <c r="K34" s="37"/>
      <c r="L34" s="37"/>
      <c r="M34" s="37"/>
      <c r="N34" s="37"/>
      <c r="O34" s="37"/>
      <c r="P34" s="37"/>
      <c r="Q34" s="37"/>
      <c r="R34" s="37"/>
    </row>
    <row r="35" spans="10:18" x14ac:dyDescent="0.35">
      <c r="J35" s="37"/>
      <c r="K35" s="37"/>
      <c r="L35" s="37"/>
      <c r="M35" s="37"/>
      <c r="N35" s="37"/>
      <c r="O35" s="37"/>
      <c r="P35" s="37"/>
      <c r="Q35" s="37"/>
      <c r="R35" s="37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6562-2620-4E1D-B7E6-F5DAC8365432}">
  <sheetPr>
    <tabColor theme="9"/>
  </sheetPr>
  <dimension ref="A1:F29"/>
  <sheetViews>
    <sheetView showGridLines="0" zoomScale="175" zoomScaleNormal="175" workbookViewId="0">
      <selection activeCell="C39" sqref="C39"/>
    </sheetView>
  </sheetViews>
  <sheetFormatPr defaultRowHeight="14.5" x14ac:dyDescent="0.35"/>
  <cols>
    <col min="1" max="1" width="28.81640625" bestFit="1" customWidth="1"/>
    <col min="2" max="2" width="20.81640625" style="2" bestFit="1" customWidth="1"/>
    <col min="3" max="5" width="9.453125" style="2" bestFit="1" customWidth="1"/>
    <col min="6" max="6" width="10.54296875" style="2" bestFit="1" customWidth="1"/>
    <col min="7" max="7" width="17.453125" bestFit="1" customWidth="1"/>
    <col min="8" max="8" width="24.1796875" bestFit="1" customWidth="1"/>
    <col min="9" max="9" width="17.453125" bestFit="1" customWidth="1"/>
    <col min="10" max="10" width="28.81640625" bestFit="1" customWidth="1"/>
    <col min="11" max="11" width="22" bestFit="1" customWidth="1"/>
  </cols>
  <sheetData>
    <row r="1" spans="1:6" x14ac:dyDescent="0.35">
      <c r="A1" s="24" t="s">
        <v>225</v>
      </c>
      <c r="B1" s="34" t="s">
        <v>233</v>
      </c>
    </row>
    <row r="2" spans="1:6" x14ac:dyDescent="0.35">
      <c r="A2" s="24" t="s">
        <v>220</v>
      </c>
      <c r="B2" s="36" t="s">
        <v>308</v>
      </c>
      <c r="C2" s="36" t="s">
        <v>309</v>
      </c>
      <c r="D2" s="2" t="s">
        <v>232</v>
      </c>
      <c r="E2" s="36" t="s">
        <v>310</v>
      </c>
      <c r="F2" s="2" t="s">
        <v>221</v>
      </c>
    </row>
    <row r="3" spans="1:6" x14ac:dyDescent="0.35">
      <c r="A3" s="1" t="s">
        <v>223</v>
      </c>
      <c r="B3" s="35">
        <v>6996.4533500000007</v>
      </c>
      <c r="C3" s="35"/>
      <c r="D3" s="35"/>
      <c r="E3" s="35"/>
      <c r="F3" s="35">
        <v>6996.4533500000007</v>
      </c>
    </row>
    <row r="4" spans="1:6" x14ac:dyDescent="0.35">
      <c r="A4" s="87" t="s">
        <v>183</v>
      </c>
      <c r="B4" s="35">
        <v>6996.4533500000007</v>
      </c>
      <c r="C4" s="35"/>
      <c r="D4" s="35"/>
      <c r="E4" s="35"/>
      <c r="F4" s="35">
        <v>6996.4533500000007</v>
      </c>
    </row>
    <row r="5" spans="1:6" x14ac:dyDescent="0.35">
      <c r="A5" s="1" t="s">
        <v>228</v>
      </c>
      <c r="B5" s="35"/>
      <c r="C5" s="35">
        <v>9936.8800499999998</v>
      </c>
      <c r="D5" s="35"/>
      <c r="E5" s="35"/>
      <c r="F5" s="35">
        <v>9936.8800499999998</v>
      </c>
    </row>
    <row r="6" spans="1:6" x14ac:dyDescent="0.35">
      <c r="A6" s="87" t="s">
        <v>183</v>
      </c>
      <c r="B6" s="35"/>
      <c r="C6" s="35">
        <v>9936.8800499999998</v>
      </c>
      <c r="D6" s="35"/>
      <c r="E6" s="35"/>
      <c r="F6" s="35">
        <v>9936.8800499999998</v>
      </c>
    </row>
    <row r="7" spans="1:6" x14ac:dyDescent="0.35">
      <c r="A7" s="1" t="s">
        <v>229</v>
      </c>
      <c r="B7" s="35"/>
      <c r="C7" s="35"/>
      <c r="D7" s="35">
        <v>7816.3838500000002</v>
      </c>
      <c r="E7" s="35"/>
      <c r="F7" s="35">
        <v>7816.3838500000002</v>
      </c>
    </row>
    <row r="8" spans="1:6" x14ac:dyDescent="0.35">
      <c r="A8" s="87" t="s">
        <v>185</v>
      </c>
      <c r="B8" s="35"/>
      <c r="C8" s="35"/>
      <c r="D8" s="35">
        <v>4078.7945999999997</v>
      </c>
      <c r="E8" s="35"/>
      <c r="F8" s="35">
        <v>4078.7945999999997</v>
      </c>
    </row>
    <row r="9" spans="1:6" x14ac:dyDescent="0.35">
      <c r="A9" s="87" t="s">
        <v>190</v>
      </c>
      <c r="B9" s="35"/>
      <c r="C9" s="35"/>
      <c r="D9" s="35">
        <v>3737.5892500000004</v>
      </c>
      <c r="E9" s="35"/>
      <c r="F9" s="35">
        <v>3737.5892500000004</v>
      </c>
    </row>
    <row r="10" spans="1:6" x14ac:dyDescent="0.35">
      <c r="A10" s="1" t="s">
        <v>230</v>
      </c>
      <c r="B10" s="35"/>
      <c r="C10" s="35"/>
      <c r="D10" s="35"/>
      <c r="E10" s="35">
        <v>1941.1313</v>
      </c>
      <c r="F10" s="35">
        <v>1941.1313</v>
      </c>
    </row>
    <row r="11" spans="1:6" x14ac:dyDescent="0.35">
      <c r="A11" s="87" t="s">
        <v>195</v>
      </c>
      <c r="B11" s="35"/>
      <c r="C11" s="35"/>
      <c r="D11" s="35"/>
      <c r="E11" s="35">
        <v>413.22170000000006</v>
      </c>
      <c r="F11" s="35">
        <v>413.22170000000006</v>
      </c>
    </row>
    <row r="12" spans="1:6" x14ac:dyDescent="0.35">
      <c r="A12" s="87" t="s">
        <v>212</v>
      </c>
      <c r="B12" s="35"/>
      <c r="C12" s="35"/>
      <c r="D12" s="35"/>
      <c r="E12" s="35">
        <v>440.3334000000001</v>
      </c>
      <c r="F12" s="35">
        <v>440.3334000000001</v>
      </c>
    </row>
    <row r="13" spans="1:6" x14ac:dyDescent="0.35">
      <c r="A13" s="87" t="s">
        <v>202</v>
      </c>
      <c r="B13" s="35"/>
      <c r="C13" s="35"/>
      <c r="D13" s="35"/>
      <c r="E13" s="35">
        <v>1087.5762</v>
      </c>
      <c r="F13" s="35">
        <v>1087.5762</v>
      </c>
    </row>
    <row r="14" spans="1:6" x14ac:dyDescent="0.35">
      <c r="A14" s="1" t="s">
        <v>221</v>
      </c>
      <c r="B14" s="35">
        <v>6996.4533500000007</v>
      </c>
      <c r="C14" s="35">
        <v>9936.8800499999998</v>
      </c>
      <c r="D14" s="35">
        <v>7816.3838500000002</v>
      </c>
      <c r="E14" s="35">
        <v>1941.1313</v>
      </c>
      <c r="F14" s="35">
        <v>26690.848550000002</v>
      </c>
    </row>
    <row r="15" spans="1:6" x14ac:dyDescent="0.35">
      <c r="B15" s="36"/>
      <c r="C15" s="36"/>
      <c r="D15" s="36"/>
      <c r="E15" s="36"/>
      <c r="F15" s="36"/>
    </row>
    <row r="16" spans="1:6" x14ac:dyDescent="0.35">
      <c r="B16" s="36"/>
      <c r="C16" s="36"/>
      <c r="D16" s="36"/>
      <c r="E16" s="36"/>
      <c r="F16" s="36"/>
    </row>
    <row r="17" spans="2:6" x14ac:dyDescent="0.35">
      <c r="B17" s="36"/>
      <c r="C17" s="36"/>
      <c r="D17" s="36"/>
      <c r="E17" s="36"/>
      <c r="F17" s="36"/>
    </row>
    <row r="18" spans="2:6" x14ac:dyDescent="0.35">
      <c r="B18" s="36"/>
      <c r="C18" s="36"/>
      <c r="D18" s="36"/>
      <c r="E18" s="36"/>
      <c r="F18" s="36"/>
    </row>
    <row r="19" spans="2:6" x14ac:dyDescent="0.35">
      <c r="B19" s="36"/>
      <c r="C19" s="36"/>
      <c r="D19" s="36"/>
      <c r="E19" s="36"/>
      <c r="F19" s="36"/>
    </row>
    <row r="20" spans="2:6" x14ac:dyDescent="0.35">
      <c r="B20" s="36"/>
      <c r="C20" s="36"/>
      <c r="D20" s="36"/>
      <c r="E20" s="36"/>
      <c r="F20" s="36"/>
    </row>
    <row r="21" spans="2:6" x14ac:dyDescent="0.35">
      <c r="B21" s="36"/>
      <c r="C21" s="36"/>
      <c r="D21" s="36"/>
      <c r="E21" s="36"/>
      <c r="F21" s="36"/>
    </row>
    <row r="22" spans="2:6" x14ac:dyDescent="0.35">
      <c r="B22" s="36"/>
      <c r="C22" s="36"/>
      <c r="D22" s="36"/>
      <c r="E22" s="36"/>
      <c r="F22" s="36"/>
    </row>
    <row r="23" spans="2:6" x14ac:dyDescent="0.35">
      <c r="B23" s="36"/>
      <c r="C23" s="36"/>
      <c r="D23" s="36"/>
      <c r="E23" s="36"/>
      <c r="F23" s="36"/>
    </row>
    <row r="24" spans="2:6" x14ac:dyDescent="0.35">
      <c r="B24" s="36"/>
      <c r="C24" s="36"/>
      <c r="D24" s="36"/>
      <c r="E24" s="36"/>
      <c r="F24" s="36"/>
    </row>
    <row r="25" spans="2:6" x14ac:dyDescent="0.35">
      <c r="B25" s="36"/>
      <c r="C25" s="36"/>
      <c r="D25" s="36"/>
      <c r="E25" s="36"/>
      <c r="F25" s="36"/>
    </row>
    <row r="26" spans="2:6" x14ac:dyDescent="0.35">
      <c r="B26" s="36"/>
      <c r="C26" s="36"/>
      <c r="D26" s="36"/>
      <c r="E26" s="36"/>
      <c r="F26" s="36"/>
    </row>
    <row r="27" spans="2:6" x14ac:dyDescent="0.35">
      <c r="B27" s="36"/>
      <c r="C27" s="36"/>
      <c r="D27" s="36"/>
      <c r="E27" s="36"/>
      <c r="F27" s="36"/>
    </row>
    <row r="28" spans="2:6" x14ac:dyDescent="0.35">
      <c r="B28" s="36"/>
      <c r="C28" s="36"/>
      <c r="D28" s="82"/>
      <c r="E28" s="36"/>
      <c r="F28" s="36"/>
    </row>
    <row r="29" spans="2:6" x14ac:dyDescent="0.35">
      <c r="B29" s="36"/>
      <c r="C29" s="36"/>
      <c r="D29" s="82"/>
      <c r="E29" s="36"/>
      <c r="F29" s="36"/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438D-C46F-479D-971A-08D8F1E2445B}">
  <sheetPr>
    <tabColor theme="9"/>
  </sheetPr>
  <dimension ref="A1:L226"/>
  <sheetViews>
    <sheetView showGridLines="0" zoomScale="130" zoomScaleNormal="130" workbookViewId="0">
      <selection activeCell="C39" sqref="C39"/>
    </sheetView>
  </sheetViews>
  <sheetFormatPr defaultColWidth="8.81640625" defaultRowHeight="13" x14ac:dyDescent="0.35"/>
  <cols>
    <col min="1" max="1" width="8.81640625" style="6"/>
    <col min="2" max="2" width="21.54296875" style="6" customWidth="1"/>
    <col min="3" max="3" width="35.36328125" style="19" customWidth="1"/>
    <col min="4" max="4" width="21.08984375" style="6" customWidth="1"/>
    <col min="5" max="6" width="11.36328125" style="21" customWidth="1"/>
    <col min="7" max="7" width="15.1796875" style="6" customWidth="1"/>
    <col min="8" max="8" width="10.08984375" style="12" bestFit="1" customWidth="1"/>
    <col min="9" max="11" width="8.81640625" style="12"/>
    <col min="12" max="12" width="9.90625" style="12" bestFit="1" customWidth="1"/>
    <col min="13" max="16384" width="8.81640625" style="12"/>
  </cols>
  <sheetData>
    <row r="1" spans="1:12" s="6" customFormat="1" ht="46" customHeight="1" x14ac:dyDescent="0.35">
      <c r="A1" s="3" t="s">
        <v>179</v>
      </c>
      <c r="B1" s="3" t="s">
        <v>0</v>
      </c>
      <c r="C1" s="4" t="s">
        <v>180</v>
      </c>
      <c r="D1" s="3" t="s">
        <v>181</v>
      </c>
      <c r="E1" s="22" t="s">
        <v>224</v>
      </c>
      <c r="F1" s="22" t="s">
        <v>219</v>
      </c>
      <c r="G1" s="5" t="s">
        <v>222</v>
      </c>
      <c r="H1" s="5" t="s">
        <v>218</v>
      </c>
      <c r="L1" s="25"/>
    </row>
    <row r="2" spans="1:12" s="11" customFormat="1" x14ac:dyDescent="0.35">
      <c r="A2" s="7">
        <v>1</v>
      </c>
      <c r="B2" s="7" t="s">
        <v>1</v>
      </c>
      <c r="C2" s="8" t="s">
        <v>182</v>
      </c>
      <c r="D2" s="9" t="s">
        <v>183</v>
      </c>
      <c r="E2" s="20">
        <v>18.049999999999997</v>
      </c>
      <c r="F2" s="23">
        <v>16</v>
      </c>
      <c r="G2" s="10">
        <f t="shared" ref="G2:G65" si="0">VLOOKUP(C2,$C$188:$E$224,3,FALSE)</f>
        <v>46251.75</v>
      </c>
      <c r="H2" s="10" t="str">
        <f t="shared" ref="H2:H33" si="1">VLOOKUP(G2,$G$190:$H$193,2,FALSE)</f>
        <v>1º</v>
      </c>
      <c r="L2" s="26"/>
    </row>
    <row r="3" spans="1:12" s="11" customFormat="1" x14ac:dyDescent="0.35">
      <c r="A3" s="7">
        <v>2</v>
      </c>
      <c r="B3" s="7" t="s">
        <v>2</v>
      </c>
      <c r="C3" s="8" t="s">
        <v>184</v>
      </c>
      <c r="D3" s="9" t="s">
        <v>185</v>
      </c>
      <c r="E3" s="20">
        <v>19.220400000000001</v>
      </c>
      <c r="F3" s="23">
        <v>8</v>
      </c>
      <c r="G3" s="10">
        <f t="shared" si="0"/>
        <v>46280.75</v>
      </c>
      <c r="H3" s="10" t="str">
        <f t="shared" si="1"/>
        <v>3º</v>
      </c>
      <c r="L3" s="26"/>
    </row>
    <row r="4" spans="1:12" s="11" customFormat="1" x14ac:dyDescent="0.35">
      <c r="A4" s="7">
        <v>3</v>
      </c>
      <c r="B4" s="7" t="s">
        <v>3</v>
      </c>
      <c r="C4" s="8" t="s">
        <v>186</v>
      </c>
      <c r="D4" s="9" t="s">
        <v>183</v>
      </c>
      <c r="E4" s="20">
        <v>2.6249999999999996</v>
      </c>
      <c r="F4" s="23">
        <v>4</v>
      </c>
      <c r="G4" s="10">
        <f t="shared" si="0"/>
        <v>46251.75</v>
      </c>
      <c r="H4" s="10" t="str">
        <f t="shared" si="1"/>
        <v>1º</v>
      </c>
      <c r="L4" s="26"/>
    </row>
    <row r="5" spans="1:12" s="11" customFormat="1" x14ac:dyDescent="0.35">
      <c r="A5" s="7">
        <v>4</v>
      </c>
      <c r="B5" s="7" t="s">
        <v>4</v>
      </c>
      <c r="C5" s="8" t="s">
        <v>186</v>
      </c>
      <c r="D5" s="9" t="s">
        <v>183</v>
      </c>
      <c r="E5" s="20">
        <v>2.6249999999999996</v>
      </c>
      <c r="F5" s="23">
        <v>4</v>
      </c>
      <c r="G5" s="10">
        <f>VLOOKUP(C5,$C$188:$E$224,3,FALSE)</f>
        <v>46251.75</v>
      </c>
      <c r="H5" s="10" t="str">
        <f t="shared" si="1"/>
        <v>1º</v>
      </c>
      <c r="L5" s="26"/>
    </row>
    <row r="6" spans="1:12" s="11" customFormat="1" x14ac:dyDescent="0.35">
      <c r="A6" s="7">
        <v>5</v>
      </c>
      <c r="B6" s="7" t="s">
        <v>5</v>
      </c>
      <c r="C6" s="8" t="s">
        <v>186</v>
      </c>
      <c r="D6" s="9" t="s">
        <v>183</v>
      </c>
      <c r="E6" s="20">
        <v>2.625</v>
      </c>
      <c r="F6" s="23">
        <v>4</v>
      </c>
      <c r="G6" s="10">
        <f t="shared" si="0"/>
        <v>46251.75</v>
      </c>
      <c r="H6" s="10" t="str">
        <f t="shared" si="1"/>
        <v>1º</v>
      </c>
      <c r="L6" s="26"/>
    </row>
    <row r="7" spans="1:12" s="11" customFormat="1" x14ac:dyDescent="0.35">
      <c r="A7" s="7">
        <v>6</v>
      </c>
      <c r="B7" s="7" t="s">
        <v>6</v>
      </c>
      <c r="C7" s="8" t="s">
        <v>186</v>
      </c>
      <c r="D7" s="9" t="s">
        <v>183</v>
      </c>
      <c r="E7" s="20">
        <v>2.625</v>
      </c>
      <c r="F7" s="23">
        <v>4</v>
      </c>
      <c r="G7" s="10">
        <f t="shared" si="0"/>
        <v>46251.75</v>
      </c>
      <c r="H7" s="10" t="str">
        <f t="shared" si="1"/>
        <v>1º</v>
      </c>
      <c r="L7" s="26"/>
    </row>
    <row r="8" spans="1:12" s="11" customFormat="1" x14ac:dyDescent="0.35">
      <c r="A8" s="7">
        <v>7</v>
      </c>
      <c r="B8" s="7" t="s">
        <v>7</v>
      </c>
      <c r="C8" s="8" t="s">
        <v>186</v>
      </c>
      <c r="D8" s="9" t="s">
        <v>183</v>
      </c>
      <c r="E8" s="20">
        <v>2.625</v>
      </c>
      <c r="F8" s="23">
        <v>4</v>
      </c>
      <c r="G8" s="10">
        <f t="shared" si="0"/>
        <v>46251.75</v>
      </c>
      <c r="H8" s="10" t="str">
        <f t="shared" si="1"/>
        <v>1º</v>
      </c>
      <c r="L8" s="26"/>
    </row>
    <row r="9" spans="1:12" s="11" customFormat="1" x14ac:dyDescent="0.35">
      <c r="A9" s="7">
        <v>8</v>
      </c>
      <c r="B9" s="7" t="s">
        <v>8</v>
      </c>
      <c r="C9" s="8" t="s">
        <v>187</v>
      </c>
      <c r="D9" s="9" t="s">
        <v>183</v>
      </c>
      <c r="E9" s="20">
        <v>14.769799999999998</v>
      </c>
      <c r="F9" s="23">
        <v>10</v>
      </c>
      <c r="G9" s="10">
        <f t="shared" si="0"/>
        <v>46265.75</v>
      </c>
      <c r="H9" s="10" t="str">
        <f t="shared" si="1"/>
        <v>2º</v>
      </c>
    </row>
    <row r="10" spans="1:12" s="11" customFormat="1" x14ac:dyDescent="0.35">
      <c r="A10" s="7">
        <v>9</v>
      </c>
      <c r="B10" s="7" t="s">
        <v>9</v>
      </c>
      <c r="C10" s="8" t="s">
        <v>188</v>
      </c>
      <c r="D10" s="9" t="s">
        <v>183</v>
      </c>
      <c r="E10" s="20">
        <v>36.122400000000013</v>
      </c>
      <c r="F10" s="23">
        <v>31</v>
      </c>
      <c r="G10" s="10">
        <f t="shared" si="0"/>
        <v>46251.75</v>
      </c>
      <c r="H10" s="10" t="str">
        <f t="shared" si="1"/>
        <v>1º</v>
      </c>
    </row>
    <row r="11" spans="1:12" s="11" customFormat="1" x14ac:dyDescent="0.35">
      <c r="A11" s="7">
        <v>10</v>
      </c>
      <c r="B11" s="7" t="s">
        <v>10</v>
      </c>
      <c r="C11" s="8" t="s">
        <v>187</v>
      </c>
      <c r="D11" s="9" t="s">
        <v>183</v>
      </c>
      <c r="E11" s="20">
        <v>35.0486</v>
      </c>
      <c r="F11" s="23">
        <v>12</v>
      </c>
      <c r="G11" s="10">
        <f t="shared" si="0"/>
        <v>46265.75</v>
      </c>
      <c r="H11" s="10" t="str">
        <f t="shared" si="1"/>
        <v>2º</v>
      </c>
    </row>
    <row r="12" spans="1:12" s="11" customFormat="1" x14ac:dyDescent="0.35">
      <c r="A12" s="7">
        <v>11</v>
      </c>
      <c r="B12" s="7" t="s">
        <v>11</v>
      </c>
      <c r="C12" s="8" t="s">
        <v>189</v>
      </c>
      <c r="D12" s="9" t="s">
        <v>190</v>
      </c>
      <c r="E12" s="20">
        <v>3.1239999999999997</v>
      </c>
      <c r="F12" s="23">
        <v>2</v>
      </c>
      <c r="G12" s="10">
        <f t="shared" si="0"/>
        <v>46280.75</v>
      </c>
      <c r="H12" s="10" t="str">
        <f t="shared" si="1"/>
        <v>3º</v>
      </c>
    </row>
    <row r="13" spans="1:12" s="11" customFormat="1" x14ac:dyDescent="0.35">
      <c r="A13" s="7">
        <v>12</v>
      </c>
      <c r="B13" s="7" t="s">
        <v>12</v>
      </c>
      <c r="C13" s="8" t="s">
        <v>189</v>
      </c>
      <c r="D13" s="9" t="s">
        <v>190</v>
      </c>
      <c r="E13" s="20">
        <v>3.1239999999999997</v>
      </c>
      <c r="F13" s="23">
        <v>2</v>
      </c>
      <c r="G13" s="10">
        <f t="shared" si="0"/>
        <v>46280.75</v>
      </c>
      <c r="H13" s="10" t="str">
        <f t="shared" si="1"/>
        <v>3º</v>
      </c>
    </row>
    <row r="14" spans="1:12" s="11" customFormat="1" x14ac:dyDescent="0.35">
      <c r="A14" s="7">
        <v>13</v>
      </c>
      <c r="B14" s="7" t="s">
        <v>13</v>
      </c>
      <c r="C14" s="8" t="s">
        <v>186</v>
      </c>
      <c r="D14" s="9" t="s">
        <v>183</v>
      </c>
      <c r="E14" s="20">
        <v>17.197199999999999</v>
      </c>
      <c r="F14" s="23">
        <v>8</v>
      </c>
      <c r="G14" s="10">
        <f t="shared" si="0"/>
        <v>46251.75</v>
      </c>
      <c r="H14" s="10" t="str">
        <f t="shared" si="1"/>
        <v>1º</v>
      </c>
    </row>
    <row r="15" spans="1:12" s="11" customFormat="1" x14ac:dyDescent="0.35">
      <c r="A15" s="7">
        <v>14</v>
      </c>
      <c r="B15" s="7" t="s">
        <v>14</v>
      </c>
      <c r="C15" s="8" t="s">
        <v>182</v>
      </c>
      <c r="D15" s="9" t="s">
        <v>183</v>
      </c>
      <c r="E15" s="20">
        <v>28.1448</v>
      </c>
      <c r="F15" s="23">
        <v>10</v>
      </c>
      <c r="G15" s="10">
        <f t="shared" si="0"/>
        <v>46251.75</v>
      </c>
      <c r="H15" s="10" t="str">
        <f t="shared" si="1"/>
        <v>1º</v>
      </c>
    </row>
    <row r="16" spans="1:12" s="11" customFormat="1" x14ac:dyDescent="0.35">
      <c r="A16" s="7">
        <v>15</v>
      </c>
      <c r="B16" s="7" t="s">
        <v>15</v>
      </c>
      <c r="C16" s="8" t="s">
        <v>186</v>
      </c>
      <c r="D16" s="9" t="s">
        <v>183</v>
      </c>
      <c r="E16" s="20">
        <v>43.192800000000005</v>
      </c>
      <c r="F16" s="23">
        <v>22</v>
      </c>
      <c r="G16" s="10">
        <f t="shared" si="0"/>
        <v>46251.75</v>
      </c>
      <c r="H16" s="10" t="str">
        <f t="shared" si="1"/>
        <v>1º</v>
      </c>
    </row>
    <row r="17" spans="1:8" s="11" customFormat="1" x14ac:dyDescent="0.35">
      <c r="A17" s="7">
        <v>16</v>
      </c>
      <c r="B17" s="7" t="s">
        <v>16</v>
      </c>
      <c r="C17" s="8" t="s">
        <v>188</v>
      </c>
      <c r="D17" s="9" t="s">
        <v>183</v>
      </c>
      <c r="E17" s="20">
        <v>22.364000000000001</v>
      </c>
      <c r="F17" s="23">
        <v>24</v>
      </c>
      <c r="G17" s="10">
        <f t="shared" si="0"/>
        <v>46251.75</v>
      </c>
      <c r="H17" s="10" t="str">
        <f t="shared" si="1"/>
        <v>1º</v>
      </c>
    </row>
    <row r="18" spans="1:8" s="11" customFormat="1" x14ac:dyDescent="0.35">
      <c r="A18" s="7">
        <v>17</v>
      </c>
      <c r="B18" s="7" t="s">
        <v>17</v>
      </c>
      <c r="C18" s="8" t="s">
        <v>184</v>
      </c>
      <c r="D18" s="9" t="s">
        <v>185</v>
      </c>
      <c r="E18" s="20">
        <v>18</v>
      </c>
      <c r="F18" s="23">
        <v>16</v>
      </c>
      <c r="G18" s="10">
        <f t="shared" si="0"/>
        <v>46280.75</v>
      </c>
      <c r="H18" s="10" t="str">
        <f t="shared" si="1"/>
        <v>3º</v>
      </c>
    </row>
    <row r="19" spans="1:8" s="11" customFormat="1" x14ac:dyDescent="0.35">
      <c r="A19" s="7">
        <v>18</v>
      </c>
      <c r="B19" s="7" t="s">
        <v>18</v>
      </c>
      <c r="C19" s="8" t="s">
        <v>184</v>
      </c>
      <c r="D19" s="9" t="s">
        <v>185</v>
      </c>
      <c r="E19" s="20">
        <v>18</v>
      </c>
      <c r="F19" s="23">
        <v>16</v>
      </c>
      <c r="G19" s="10">
        <f t="shared" si="0"/>
        <v>46280.75</v>
      </c>
      <c r="H19" s="10" t="str">
        <f t="shared" si="1"/>
        <v>3º</v>
      </c>
    </row>
    <row r="20" spans="1:8" s="11" customFormat="1" x14ac:dyDescent="0.35">
      <c r="A20" s="7">
        <v>19</v>
      </c>
      <c r="B20" s="7" t="s">
        <v>19</v>
      </c>
      <c r="C20" s="8" t="s">
        <v>184</v>
      </c>
      <c r="D20" s="9" t="s">
        <v>185</v>
      </c>
      <c r="E20" s="20">
        <v>8</v>
      </c>
      <c r="F20" s="23">
        <v>6</v>
      </c>
      <c r="G20" s="10">
        <f t="shared" si="0"/>
        <v>46280.75</v>
      </c>
      <c r="H20" s="10" t="str">
        <f t="shared" si="1"/>
        <v>3º</v>
      </c>
    </row>
    <row r="21" spans="1:8" s="11" customFormat="1" x14ac:dyDescent="0.35">
      <c r="A21" s="7">
        <v>20</v>
      </c>
      <c r="B21" s="7" t="s">
        <v>20</v>
      </c>
      <c r="C21" s="8" t="s">
        <v>184</v>
      </c>
      <c r="D21" s="9" t="s">
        <v>185</v>
      </c>
      <c r="E21" s="20">
        <v>8</v>
      </c>
      <c r="F21" s="23">
        <v>8</v>
      </c>
      <c r="G21" s="10">
        <f t="shared" si="0"/>
        <v>46280.75</v>
      </c>
      <c r="H21" s="10" t="str">
        <f t="shared" si="1"/>
        <v>3º</v>
      </c>
    </row>
    <row r="22" spans="1:8" s="11" customFormat="1" x14ac:dyDescent="0.35">
      <c r="A22" s="7">
        <v>21</v>
      </c>
      <c r="B22" s="7" t="s">
        <v>21</v>
      </c>
      <c r="C22" s="8" t="s">
        <v>191</v>
      </c>
      <c r="D22" s="9" t="s">
        <v>185</v>
      </c>
      <c r="E22" s="20">
        <v>565.39760000000001</v>
      </c>
      <c r="F22" s="23">
        <v>53</v>
      </c>
      <c r="G22" s="10">
        <f t="shared" si="0"/>
        <v>46280.75</v>
      </c>
      <c r="H22" s="10" t="str">
        <f t="shared" si="1"/>
        <v>3º</v>
      </c>
    </row>
    <row r="23" spans="1:8" s="11" customFormat="1" x14ac:dyDescent="0.35">
      <c r="A23" s="7">
        <v>22</v>
      </c>
      <c r="B23" s="7" t="s">
        <v>22</v>
      </c>
      <c r="C23" s="8" t="s">
        <v>191</v>
      </c>
      <c r="D23" s="9" t="s">
        <v>185</v>
      </c>
      <c r="E23" s="20">
        <v>168.91129999999998</v>
      </c>
      <c r="F23" s="23">
        <v>23</v>
      </c>
      <c r="G23" s="10">
        <f t="shared" si="0"/>
        <v>46280.75</v>
      </c>
      <c r="H23" s="10" t="str">
        <f t="shared" si="1"/>
        <v>3º</v>
      </c>
    </row>
    <row r="24" spans="1:8" s="11" customFormat="1" x14ac:dyDescent="0.35">
      <c r="A24" s="7">
        <v>23</v>
      </c>
      <c r="B24" s="7" t="s">
        <v>23</v>
      </c>
      <c r="C24" s="8" t="s">
        <v>192</v>
      </c>
      <c r="D24" s="9" t="s">
        <v>183</v>
      </c>
      <c r="E24" s="20">
        <v>1104.1905000000002</v>
      </c>
      <c r="F24" s="23">
        <v>9</v>
      </c>
      <c r="G24" s="10">
        <f t="shared" si="0"/>
        <v>46265.75</v>
      </c>
      <c r="H24" s="10" t="str">
        <f t="shared" si="1"/>
        <v>2º</v>
      </c>
    </row>
    <row r="25" spans="1:8" s="11" customFormat="1" x14ac:dyDescent="0.35">
      <c r="A25" s="7">
        <v>24</v>
      </c>
      <c r="B25" s="7" t="s">
        <v>24</v>
      </c>
      <c r="C25" s="8" t="s">
        <v>193</v>
      </c>
      <c r="D25" s="9" t="s">
        <v>183</v>
      </c>
      <c r="E25" s="20">
        <v>1161.4659999999999</v>
      </c>
      <c r="F25" s="23">
        <v>9</v>
      </c>
      <c r="G25" s="10">
        <f t="shared" si="0"/>
        <v>46265.75</v>
      </c>
      <c r="H25" s="10" t="str">
        <f t="shared" si="1"/>
        <v>2º</v>
      </c>
    </row>
    <row r="26" spans="1:8" s="11" customFormat="1" x14ac:dyDescent="0.35">
      <c r="A26" s="7">
        <v>25</v>
      </c>
      <c r="B26" s="7" t="s">
        <v>25</v>
      </c>
      <c r="C26" s="8" t="s">
        <v>187</v>
      </c>
      <c r="D26" s="9" t="s">
        <v>183</v>
      </c>
      <c r="E26" s="20">
        <v>332.9846</v>
      </c>
      <c r="F26" s="23">
        <v>4</v>
      </c>
      <c r="G26" s="10">
        <f t="shared" si="0"/>
        <v>46265.75</v>
      </c>
      <c r="H26" s="10" t="str">
        <f t="shared" si="1"/>
        <v>2º</v>
      </c>
    </row>
    <row r="27" spans="1:8" s="11" customFormat="1" x14ac:dyDescent="0.35">
      <c r="A27" s="7">
        <v>26</v>
      </c>
      <c r="B27" s="7" t="s">
        <v>26</v>
      </c>
      <c r="C27" s="8" t="s">
        <v>192</v>
      </c>
      <c r="D27" s="9" t="s">
        <v>183</v>
      </c>
      <c r="E27" s="20">
        <v>332.9846</v>
      </c>
      <c r="F27" s="23">
        <v>4</v>
      </c>
      <c r="G27" s="10">
        <f t="shared" si="0"/>
        <v>46265.75</v>
      </c>
      <c r="H27" s="10" t="str">
        <f t="shared" si="1"/>
        <v>2º</v>
      </c>
    </row>
    <row r="28" spans="1:8" s="11" customFormat="1" x14ac:dyDescent="0.35">
      <c r="A28" s="7">
        <v>27</v>
      </c>
      <c r="B28" s="7" t="s">
        <v>27</v>
      </c>
      <c r="C28" s="8" t="s">
        <v>194</v>
      </c>
      <c r="D28" s="9" t="s">
        <v>195</v>
      </c>
      <c r="E28" s="20">
        <v>16.612199999999998</v>
      </c>
      <c r="F28" s="23">
        <v>11</v>
      </c>
      <c r="G28" s="10">
        <f t="shared" si="0"/>
        <v>46287.75</v>
      </c>
      <c r="H28" s="10" t="str">
        <f t="shared" si="1"/>
        <v>4º</v>
      </c>
    </row>
    <row r="29" spans="1:8" s="11" customFormat="1" x14ac:dyDescent="0.35">
      <c r="A29" s="7">
        <v>28</v>
      </c>
      <c r="B29" s="7" t="s">
        <v>28</v>
      </c>
      <c r="C29" s="8" t="s">
        <v>196</v>
      </c>
      <c r="D29" s="9" t="s">
        <v>195</v>
      </c>
      <c r="E29" s="20">
        <v>16.572500000000002</v>
      </c>
      <c r="F29" s="23">
        <v>11</v>
      </c>
      <c r="G29" s="10">
        <f t="shared" si="0"/>
        <v>46287.75</v>
      </c>
      <c r="H29" s="10" t="str">
        <f t="shared" si="1"/>
        <v>4º</v>
      </c>
    </row>
    <row r="30" spans="1:8" s="11" customFormat="1" x14ac:dyDescent="0.35">
      <c r="A30" s="7">
        <v>29</v>
      </c>
      <c r="B30" s="7" t="s">
        <v>29</v>
      </c>
      <c r="C30" s="8" t="s">
        <v>197</v>
      </c>
      <c r="D30" s="9" t="s">
        <v>195</v>
      </c>
      <c r="E30" s="20">
        <v>16.731300000000001</v>
      </c>
      <c r="F30" s="23">
        <v>11</v>
      </c>
      <c r="G30" s="10">
        <f t="shared" si="0"/>
        <v>46287.75</v>
      </c>
      <c r="H30" s="10" t="str">
        <f t="shared" si="1"/>
        <v>4º</v>
      </c>
    </row>
    <row r="31" spans="1:8" s="11" customFormat="1" x14ac:dyDescent="0.35">
      <c r="A31" s="7">
        <v>30</v>
      </c>
      <c r="B31" s="7" t="s">
        <v>30</v>
      </c>
      <c r="C31" s="8" t="s">
        <v>198</v>
      </c>
      <c r="D31" s="9" t="s">
        <v>195</v>
      </c>
      <c r="E31" s="20">
        <v>16.612199999999998</v>
      </c>
      <c r="F31" s="23">
        <v>11</v>
      </c>
      <c r="G31" s="10">
        <f t="shared" si="0"/>
        <v>46287.75</v>
      </c>
      <c r="H31" s="10" t="str">
        <f t="shared" si="1"/>
        <v>4º</v>
      </c>
    </row>
    <row r="32" spans="1:8" s="11" customFormat="1" x14ac:dyDescent="0.35">
      <c r="A32" s="7">
        <v>31</v>
      </c>
      <c r="B32" s="7" t="s">
        <v>31</v>
      </c>
      <c r="C32" s="8" t="s">
        <v>199</v>
      </c>
      <c r="D32" s="9" t="s">
        <v>195</v>
      </c>
      <c r="E32" s="20">
        <v>16.651900000000001</v>
      </c>
      <c r="F32" s="23">
        <v>11</v>
      </c>
      <c r="G32" s="10">
        <f t="shared" si="0"/>
        <v>46287.75</v>
      </c>
      <c r="H32" s="10" t="str">
        <f t="shared" si="1"/>
        <v>4º</v>
      </c>
    </row>
    <row r="33" spans="1:8" s="11" customFormat="1" x14ac:dyDescent="0.35">
      <c r="A33" s="7">
        <v>32</v>
      </c>
      <c r="B33" s="7" t="s">
        <v>32</v>
      </c>
      <c r="C33" s="8" t="s">
        <v>194</v>
      </c>
      <c r="D33" s="9" t="s">
        <v>195</v>
      </c>
      <c r="E33" s="20">
        <v>20.677500000000002</v>
      </c>
      <c r="F33" s="23">
        <v>9</v>
      </c>
      <c r="G33" s="10">
        <f t="shared" si="0"/>
        <v>46287.75</v>
      </c>
      <c r="H33" s="10" t="str">
        <f t="shared" si="1"/>
        <v>4º</v>
      </c>
    </row>
    <row r="34" spans="1:8" s="11" customFormat="1" x14ac:dyDescent="0.35">
      <c r="A34" s="7">
        <v>33</v>
      </c>
      <c r="B34" s="7" t="s">
        <v>33</v>
      </c>
      <c r="C34" s="8" t="s">
        <v>200</v>
      </c>
      <c r="D34" s="9" t="s">
        <v>195</v>
      </c>
      <c r="E34" s="20">
        <v>16.731299999999997</v>
      </c>
      <c r="F34" s="23">
        <v>11</v>
      </c>
      <c r="G34" s="10">
        <f t="shared" si="0"/>
        <v>46287.75</v>
      </c>
      <c r="H34" s="10" t="str">
        <f t="shared" ref="H34:H65" si="2">VLOOKUP(G34,$G$190:$H$193,2,FALSE)</f>
        <v>4º</v>
      </c>
    </row>
    <row r="35" spans="1:8" s="11" customFormat="1" x14ac:dyDescent="0.35">
      <c r="A35" s="7">
        <v>34</v>
      </c>
      <c r="B35" s="7" t="s">
        <v>34</v>
      </c>
      <c r="C35" s="8" t="s">
        <v>196</v>
      </c>
      <c r="D35" s="9" t="s">
        <v>195</v>
      </c>
      <c r="E35" s="20">
        <v>20.677500000000002</v>
      </c>
      <c r="F35" s="23">
        <v>9</v>
      </c>
      <c r="G35" s="10">
        <f t="shared" si="0"/>
        <v>46287.75</v>
      </c>
      <c r="H35" s="10" t="str">
        <f t="shared" si="2"/>
        <v>4º</v>
      </c>
    </row>
    <row r="36" spans="1:8" s="11" customFormat="1" x14ac:dyDescent="0.35">
      <c r="A36" s="7">
        <v>35</v>
      </c>
      <c r="B36" s="7" t="s">
        <v>35</v>
      </c>
      <c r="C36" s="8" t="s">
        <v>197</v>
      </c>
      <c r="D36" s="9" t="s">
        <v>195</v>
      </c>
      <c r="E36" s="20">
        <v>20.677500000000002</v>
      </c>
      <c r="F36" s="23">
        <v>9</v>
      </c>
      <c r="G36" s="10">
        <f t="shared" si="0"/>
        <v>46287.75</v>
      </c>
      <c r="H36" s="10" t="str">
        <f t="shared" si="2"/>
        <v>4º</v>
      </c>
    </row>
    <row r="37" spans="1:8" s="11" customFormat="1" x14ac:dyDescent="0.35">
      <c r="A37" s="7">
        <v>36</v>
      </c>
      <c r="B37" s="7" t="s">
        <v>36</v>
      </c>
      <c r="C37" s="8" t="s">
        <v>201</v>
      </c>
      <c r="D37" s="9" t="s">
        <v>195</v>
      </c>
      <c r="E37" s="20">
        <v>20.717200000000002</v>
      </c>
      <c r="F37" s="23">
        <v>9</v>
      </c>
      <c r="G37" s="10">
        <f t="shared" si="0"/>
        <v>46287.75</v>
      </c>
      <c r="H37" s="10" t="str">
        <f t="shared" si="2"/>
        <v>4º</v>
      </c>
    </row>
    <row r="38" spans="1:8" s="11" customFormat="1" x14ac:dyDescent="0.35">
      <c r="A38" s="7">
        <v>37</v>
      </c>
      <c r="B38" s="7" t="s">
        <v>37</v>
      </c>
      <c r="C38" s="8" t="s">
        <v>199</v>
      </c>
      <c r="D38" s="9" t="s">
        <v>195</v>
      </c>
      <c r="E38" s="20">
        <v>20.756900000000002</v>
      </c>
      <c r="F38" s="23">
        <v>9</v>
      </c>
      <c r="G38" s="10">
        <f t="shared" si="0"/>
        <v>46287.75</v>
      </c>
      <c r="H38" s="10" t="str">
        <f t="shared" si="2"/>
        <v>4º</v>
      </c>
    </row>
    <row r="39" spans="1:8" s="11" customFormat="1" x14ac:dyDescent="0.35">
      <c r="A39" s="7">
        <v>38</v>
      </c>
      <c r="B39" s="7" t="s">
        <v>38</v>
      </c>
      <c r="C39" s="8" t="s">
        <v>200</v>
      </c>
      <c r="D39" s="9" t="s">
        <v>195</v>
      </c>
      <c r="E39" s="20">
        <v>20.796600000000002</v>
      </c>
      <c r="F39" s="23">
        <v>9</v>
      </c>
      <c r="G39" s="10">
        <f t="shared" si="0"/>
        <v>46287.75</v>
      </c>
      <c r="H39" s="10" t="str">
        <f t="shared" si="2"/>
        <v>4º</v>
      </c>
    </row>
    <row r="40" spans="1:8" s="11" customFormat="1" x14ac:dyDescent="0.35">
      <c r="A40" s="7">
        <v>39</v>
      </c>
      <c r="B40" s="7" t="s">
        <v>39</v>
      </c>
      <c r="C40" s="8" t="s">
        <v>180</v>
      </c>
      <c r="D40" s="9" t="s">
        <v>202</v>
      </c>
      <c r="E40" s="20">
        <v>34.447699999999998</v>
      </c>
      <c r="F40" s="23">
        <v>18</v>
      </c>
      <c r="G40" s="10">
        <f t="shared" si="0"/>
        <v>46287.75</v>
      </c>
      <c r="H40" s="10" t="str">
        <f t="shared" si="2"/>
        <v>4º</v>
      </c>
    </row>
    <row r="41" spans="1:8" s="11" customFormat="1" x14ac:dyDescent="0.35">
      <c r="A41" s="7">
        <v>40</v>
      </c>
      <c r="B41" s="7" t="s">
        <v>40</v>
      </c>
      <c r="C41" s="8" t="s">
        <v>188</v>
      </c>
      <c r="D41" s="9" t="s">
        <v>183</v>
      </c>
      <c r="E41" s="20">
        <v>32.842100000000002</v>
      </c>
      <c r="F41" s="23">
        <v>12</v>
      </c>
      <c r="G41" s="10">
        <f t="shared" si="0"/>
        <v>46251.75</v>
      </c>
      <c r="H41" s="10" t="str">
        <f t="shared" si="2"/>
        <v>1º</v>
      </c>
    </row>
    <row r="42" spans="1:8" s="11" customFormat="1" x14ac:dyDescent="0.35">
      <c r="A42" s="7">
        <v>41</v>
      </c>
      <c r="B42" s="7" t="s">
        <v>41</v>
      </c>
      <c r="C42" s="8" t="s">
        <v>180</v>
      </c>
      <c r="D42" s="9" t="s">
        <v>202</v>
      </c>
      <c r="E42" s="20">
        <v>25.4392</v>
      </c>
      <c r="F42" s="23">
        <v>8</v>
      </c>
      <c r="G42" s="10">
        <f t="shared" si="0"/>
        <v>46287.75</v>
      </c>
      <c r="H42" s="10" t="str">
        <f t="shared" si="2"/>
        <v>4º</v>
      </c>
    </row>
    <row r="43" spans="1:8" s="11" customFormat="1" x14ac:dyDescent="0.35">
      <c r="A43" s="7">
        <v>42</v>
      </c>
      <c r="B43" s="7" t="s">
        <v>42</v>
      </c>
      <c r="C43" s="8" t="s">
        <v>191</v>
      </c>
      <c r="D43" s="9" t="s">
        <v>185</v>
      </c>
      <c r="E43" s="20">
        <v>25.876199999999997</v>
      </c>
      <c r="F43" s="23">
        <v>17</v>
      </c>
      <c r="G43" s="10">
        <f t="shared" si="0"/>
        <v>46280.75</v>
      </c>
      <c r="H43" s="10" t="str">
        <f t="shared" si="2"/>
        <v>3º</v>
      </c>
    </row>
    <row r="44" spans="1:8" s="11" customFormat="1" x14ac:dyDescent="0.35">
      <c r="A44" s="7">
        <v>43</v>
      </c>
      <c r="B44" s="7" t="s">
        <v>43</v>
      </c>
      <c r="C44" s="8" t="s">
        <v>191</v>
      </c>
      <c r="D44" s="9" t="s">
        <v>185</v>
      </c>
      <c r="E44" s="20">
        <v>16.202999999999999</v>
      </c>
      <c r="F44" s="23">
        <v>10</v>
      </c>
      <c r="G44" s="10">
        <f t="shared" si="0"/>
        <v>46280.75</v>
      </c>
      <c r="H44" s="10" t="str">
        <f t="shared" si="2"/>
        <v>3º</v>
      </c>
    </row>
    <row r="45" spans="1:8" s="11" customFormat="1" x14ac:dyDescent="0.35">
      <c r="A45" s="7">
        <v>44</v>
      </c>
      <c r="B45" s="7" t="s">
        <v>44</v>
      </c>
      <c r="C45" s="8" t="s">
        <v>191</v>
      </c>
      <c r="D45" s="9" t="s">
        <v>185</v>
      </c>
      <c r="E45" s="20">
        <v>6.1616</v>
      </c>
      <c r="F45" s="23">
        <v>6</v>
      </c>
      <c r="G45" s="10">
        <f t="shared" si="0"/>
        <v>46280.75</v>
      </c>
      <c r="H45" s="10" t="str">
        <f t="shared" si="2"/>
        <v>3º</v>
      </c>
    </row>
    <row r="46" spans="1:8" s="11" customFormat="1" x14ac:dyDescent="0.35">
      <c r="A46" s="7">
        <v>45</v>
      </c>
      <c r="B46" s="7" t="s">
        <v>45</v>
      </c>
      <c r="C46" s="8" t="s">
        <v>191</v>
      </c>
      <c r="D46" s="9" t="s">
        <v>185</v>
      </c>
      <c r="E46" s="20">
        <v>6.1616000000000009</v>
      </c>
      <c r="F46" s="23">
        <v>2</v>
      </c>
      <c r="G46" s="10">
        <f t="shared" si="0"/>
        <v>46280.75</v>
      </c>
      <c r="H46" s="10" t="str">
        <f t="shared" si="2"/>
        <v>3º</v>
      </c>
    </row>
    <row r="47" spans="1:8" s="11" customFormat="1" x14ac:dyDescent="0.35">
      <c r="A47" s="7">
        <v>46</v>
      </c>
      <c r="B47" s="7" t="s">
        <v>46</v>
      </c>
      <c r="C47" s="8" t="s">
        <v>186</v>
      </c>
      <c r="D47" s="9" t="s">
        <v>183</v>
      </c>
      <c r="E47" s="20">
        <v>31.2074</v>
      </c>
      <c r="F47" s="23">
        <v>19</v>
      </c>
      <c r="G47" s="10">
        <f t="shared" si="0"/>
        <v>46251.75</v>
      </c>
      <c r="H47" s="10" t="str">
        <f t="shared" si="2"/>
        <v>1º</v>
      </c>
    </row>
    <row r="48" spans="1:8" s="11" customFormat="1" x14ac:dyDescent="0.35">
      <c r="A48" s="7">
        <v>47</v>
      </c>
      <c r="B48" s="7" t="s">
        <v>47</v>
      </c>
      <c r="C48" s="8" t="s">
        <v>203</v>
      </c>
      <c r="D48" s="9" t="s">
        <v>190</v>
      </c>
      <c r="E48" s="20">
        <v>127.98720000000002</v>
      </c>
      <c r="F48" s="23">
        <v>18</v>
      </c>
      <c r="G48" s="10">
        <f t="shared" si="0"/>
        <v>46280.75</v>
      </c>
      <c r="H48" s="10" t="str">
        <f t="shared" si="2"/>
        <v>3º</v>
      </c>
    </row>
    <row r="49" spans="1:8" s="11" customFormat="1" x14ac:dyDescent="0.35">
      <c r="A49" s="7">
        <v>48</v>
      </c>
      <c r="B49" s="7" t="s">
        <v>48</v>
      </c>
      <c r="C49" s="8" t="s">
        <v>189</v>
      </c>
      <c r="D49" s="9" t="s">
        <v>190</v>
      </c>
      <c r="E49" s="20">
        <v>156.54239999999999</v>
      </c>
      <c r="F49" s="23">
        <v>27</v>
      </c>
      <c r="G49" s="10">
        <f t="shared" si="0"/>
        <v>46280.75</v>
      </c>
      <c r="H49" s="10" t="str">
        <f t="shared" si="2"/>
        <v>3º</v>
      </c>
    </row>
    <row r="50" spans="1:8" s="11" customFormat="1" x14ac:dyDescent="0.35">
      <c r="A50" s="7">
        <v>49</v>
      </c>
      <c r="B50" s="7" t="s">
        <v>49</v>
      </c>
      <c r="C50" s="8" t="s">
        <v>189</v>
      </c>
      <c r="D50" s="9" t="s">
        <v>190</v>
      </c>
      <c r="E50" s="20">
        <v>9.0159999999999982</v>
      </c>
      <c r="F50" s="23">
        <v>2</v>
      </c>
      <c r="G50" s="10">
        <f t="shared" si="0"/>
        <v>46280.75</v>
      </c>
      <c r="H50" s="10" t="str">
        <f t="shared" si="2"/>
        <v>3º</v>
      </c>
    </row>
    <row r="51" spans="1:8" s="11" customFormat="1" x14ac:dyDescent="0.35">
      <c r="A51" s="7">
        <v>50</v>
      </c>
      <c r="B51" s="7" t="s">
        <v>50</v>
      </c>
      <c r="C51" s="8" t="s">
        <v>189</v>
      </c>
      <c r="D51" s="9" t="s">
        <v>190</v>
      </c>
      <c r="E51" s="20">
        <v>9.0159999999999982</v>
      </c>
      <c r="F51" s="23">
        <v>2</v>
      </c>
      <c r="G51" s="10">
        <f t="shared" si="0"/>
        <v>46280.75</v>
      </c>
      <c r="H51" s="10" t="str">
        <f t="shared" si="2"/>
        <v>3º</v>
      </c>
    </row>
    <row r="52" spans="1:8" s="11" customFormat="1" x14ac:dyDescent="0.35">
      <c r="A52" s="7">
        <v>51</v>
      </c>
      <c r="B52" s="7" t="s">
        <v>51</v>
      </c>
      <c r="C52" s="8" t="s">
        <v>203</v>
      </c>
      <c r="D52" s="9" t="s">
        <v>190</v>
      </c>
      <c r="E52" s="20">
        <v>18.026400000000002</v>
      </c>
      <c r="F52" s="23">
        <v>8</v>
      </c>
      <c r="G52" s="10">
        <f t="shared" si="0"/>
        <v>46280.75</v>
      </c>
      <c r="H52" s="10" t="str">
        <f t="shared" si="2"/>
        <v>3º</v>
      </c>
    </row>
    <row r="53" spans="1:8" s="11" customFormat="1" x14ac:dyDescent="0.35">
      <c r="A53" s="7">
        <v>52</v>
      </c>
      <c r="B53" s="7" t="s">
        <v>52</v>
      </c>
      <c r="C53" s="8" t="s">
        <v>203</v>
      </c>
      <c r="D53" s="9" t="s">
        <v>190</v>
      </c>
      <c r="E53" s="20">
        <v>168.8416</v>
      </c>
      <c r="F53" s="23">
        <v>25</v>
      </c>
      <c r="G53" s="10">
        <f t="shared" si="0"/>
        <v>46280.75</v>
      </c>
      <c r="H53" s="10" t="str">
        <f t="shared" si="2"/>
        <v>3º</v>
      </c>
    </row>
    <row r="54" spans="1:8" s="11" customFormat="1" x14ac:dyDescent="0.35">
      <c r="A54" s="7">
        <v>53</v>
      </c>
      <c r="B54" s="7" t="s">
        <v>53</v>
      </c>
      <c r="C54" s="8" t="s">
        <v>189</v>
      </c>
      <c r="D54" s="9" t="s">
        <v>190</v>
      </c>
      <c r="E54" s="20">
        <v>0.35</v>
      </c>
      <c r="F54" s="23">
        <v>1</v>
      </c>
      <c r="G54" s="10">
        <f t="shared" si="0"/>
        <v>46280.75</v>
      </c>
      <c r="H54" s="10" t="str">
        <f t="shared" si="2"/>
        <v>3º</v>
      </c>
    </row>
    <row r="55" spans="1:8" s="11" customFormat="1" x14ac:dyDescent="0.35">
      <c r="A55" s="7">
        <v>54</v>
      </c>
      <c r="B55" s="7" t="s">
        <v>54</v>
      </c>
      <c r="C55" s="8" t="s">
        <v>186</v>
      </c>
      <c r="D55" s="9" t="s">
        <v>183</v>
      </c>
      <c r="E55" s="20">
        <v>38.734400000000001</v>
      </c>
      <c r="F55" s="23">
        <v>12</v>
      </c>
      <c r="G55" s="10">
        <f t="shared" si="0"/>
        <v>46251.75</v>
      </c>
      <c r="H55" s="10" t="str">
        <f t="shared" si="2"/>
        <v>1º</v>
      </c>
    </row>
    <row r="56" spans="1:8" s="11" customFormat="1" x14ac:dyDescent="0.35">
      <c r="A56" s="7">
        <v>55</v>
      </c>
      <c r="B56" s="7" t="s">
        <v>55</v>
      </c>
      <c r="C56" s="8" t="s">
        <v>186</v>
      </c>
      <c r="D56" s="9" t="s">
        <v>183</v>
      </c>
      <c r="E56" s="20">
        <v>1720.9357000000002</v>
      </c>
      <c r="F56" s="23">
        <v>12</v>
      </c>
      <c r="G56" s="10">
        <f t="shared" si="0"/>
        <v>46251.75</v>
      </c>
      <c r="H56" s="10" t="str">
        <f t="shared" si="2"/>
        <v>1º</v>
      </c>
    </row>
    <row r="57" spans="1:8" s="11" customFormat="1" x14ac:dyDescent="0.35">
      <c r="A57" s="7">
        <v>56</v>
      </c>
      <c r="B57" s="7" t="s">
        <v>56</v>
      </c>
      <c r="C57" s="8" t="s">
        <v>188</v>
      </c>
      <c r="D57" s="9" t="s">
        <v>183</v>
      </c>
      <c r="E57" s="20">
        <v>2252.0688999999998</v>
      </c>
      <c r="F57" s="23">
        <v>15</v>
      </c>
      <c r="G57" s="10">
        <f t="shared" si="0"/>
        <v>46251.75</v>
      </c>
      <c r="H57" s="10" t="str">
        <f t="shared" si="2"/>
        <v>1º</v>
      </c>
    </row>
    <row r="58" spans="1:8" s="11" customFormat="1" x14ac:dyDescent="0.35">
      <c r="A58" s="7">
        <v>57</v>
      </c>
      <c r="B58" s="7" t="s">
        <v>57</v>
      </c>
      <c r="C58" s="8" t="s">
        <v>204</v>
      </c>
      <c r="D58" s="9" t="s">
        <v>195</v>
      </c>
      <c r="E58" s="20">
        <v>24.747499999999999</v>
      </c>
      <c r="F58" s="23">
        <v>6</v>
      </c>
      <c r="G58" s="10">
        <f t="shared" si="0"/>
        <v>46287.75</v>
      </c>
      <c r="H58" s="10" t="str">
        <f t="shared" si="2"/>
        <v>4º</v>
      </c>
    </row>
    <row r="59" spans="1:8" s="11" customFormat="1" x14ac:dyDescent="0.35">
      <c r="A59" s="7">
        <v>58</v>
      </c>
      <c r="B59" s="7" t="s">
        <v>58</v>
      </c>
      <c r="C59" s="8" t="s">
        <v>205</v>
      </c>
      <c r="D59" s="9" t="s">
        <v>195</v>
      </c>
      <c r="E59" s="20">
        <v>28.093</v>
      </c>
      <c r="F59" s="23">
        <v>8</v>
      </c>
      <c r="G59" s="10">
        <f t="shared" si="0"/>
        <v>46287.75</v>
      </c>
      <c r="H59" s="10" t="str">
        <f t="shared" si="2"/>
        <v>4º</v>
      </c>
    </row>
    <row r="60" spans="1:8" s="11" customFormat="1" x14ac:dyDescent="0.35">
      <c r="A60" s="7">
        <v>59</v>
      </c>
      <c r="B60" s="7" t="s">
        <v>59</v>
      </c>
      <c r="C60" s="8" t="s">
        <v>188</v>
      </c>
      <c r="D60" s="9" t="s">
        <v>183</v>
      </c>
      <c r="E60" s="20">
        <v>13.8675</v>
      </c>
      <c r="F60" s="23">
        <v>18</v>
      </c>
      <c r="G60" s="10">
        <f t="shared" si="0"/>
        <v>46251.75</v>
      </c>
      <c r="H60" s="10" t="str">
        <f t="shared" si="2"/>
        <v>1º</v>
      </c>
    </row>
    <row r="61" spans="1:8" s="11" customFormat="1" x14ac:dyDescent="0.35">
      <c r="A61" s="7">
        <v>60</v>
      </c>
      <c r="B61" s="7" t="s">
        <v>60</v>
      </c>
      <c r="C61" s="8" t="s">
        <v>201</v>
      </c>
      <c r="D61" s="9" t="s">
        <v>195</v>
      </c>
      <c r="E61" s="20">
        <v>37.546500000000009</v>
      </c>
      <c r="F61" s="23">
        <v>13</v>
      </c>
      <c r="G61" s="10">
        <f t="shared" si="0"/>
        <v>46287.75</v>
      </c>
      <c r="H61" s="10" t="str">
        <f t="shared" si="2"/>
        <v>4º</v>
      </c>
    </row>
    <row r="62" spans="1:8" s="11" customFormat="1" x14ac:dyDescent="0.35">
      <c r="A62" s="7">
        <v>61</v>
      </c>
      <c r="B62" s="7" t="s">
        <v>61</v>
      </c>
      <c r="C62" s="8" t="s">
        <v>201</v>
      </c>
      <c r="D62" s="9" t="s">
        <v>195</v>
      </c>
      <c r="E62" s="20">
        <v>37.601000000000006</v>
      </c>
      <c r="F62" s="23">
        <v>13</v>
      </c>
      <c r="G62" s="10">
        <f t="shared" si="0"/>
        <v>46287.75</v>
      </c>
      <c r="H62" s="10" t="str">
        <f t="shared" si="2"/>
        <v>4º</v>
      </c>
    </row>
    <row r="63" spans="1:8" s="11" customFormat="1" x14ac:dyDescent="0.35">
      <c r="A63" s="7">
        <v>62</v>
      </c>
      <c r="B63" s="7" t="s">
        <v>62</v>
      </c>
      <c r="C63" s="8" t="s">
        <v>206</v>
      </c>
      <c r="D63" s="9" t="s">
        <v>185</v>
      </c>
      <c r="E63" s="20">
        <v>212.04929999999999</v>
      </c>
      <c r="F63" s="23">
        <v>17</v>
      </c>
      <c r="G63" s="10">
        <f t="shared" si="0"/>
        <v>46280.75</v>
      </c>
      <c r="H63" s="10" t="str">
        <f t="shared" si="2"/>
        <v>3º</v>
      </c>
    </row>
    <row r="64" spans="1:8" s="11" customFormat="1" x14ac:dyDescent="0.35">
      <c r="A64" s="7">
        <v>63</v>
      </c>
      <c r="B64" s="7" t="s">
        <v>63</v>
      </c>
      <c r="C64" s="8" t="s">
        <v>206</v>
      </c>
      <c r="D64" s="9" t="s">
        <v>185</v>
      </c>
      <c r="E64" s="20">
        <v>4.5</v>
      </c>
      <c r="F64" s="23">
        <v>21</v>
      </c>
      <c r="G64" s="10">
        <f t="shared" si="0"/>
        <v>46280.75</v>
      </c>
      <c r="H64" s="10" t="str">
        <f t="shared" si="2"/>
        <v>3º</v>
      </c>
    </row>
    <row r="65" spans="1:8" s="11" customFormat="1" x14ac:dyDescent="0.35">
      <c r="A65" s="7">
        <v>64</v>
      </c>
      <c r="B65" s="7" t="s">
        <v>64</v>
      </c>
      <c r="C65" s="8" t="s">
        <v>203</v>
      </c>
      <c r="D65" s="9" t="s">
        <v>190</v>
      </c>
      <c r="E65" s="20">
        <v>71.814340000000001</v>
      </c>
      <c r="F65" s="23">
        <v>14</v>
      </c>
      <c r="G65" s="10">
        <f t="shared" si="0"/>
        <v>46280.75</v>
      </c>
      <c r="H65" s="10" t="str">
        <f t="shared" si="2"/>
        <v>3º</v>
      </c>
    </row>
    <row r="66" spans="1:8" s="11" customFormat="1" x14ac:dyDescent="0.35">
      <c r="A66" s="7">
        <v>65</v>
      </c>
      <c r="B66" s="7" t="s">
        <v>65</v>
      </c>
      <c r="C66" s="8" t="s">
        <v>192</v>
      </c>
      <c r="D66" s="9" t="s">
        <v>183</v>
      </c>
      <c r="E66" s="20">
        <v>204.34889999999999</v>
      </c>
      <c r="F66" s="23">
        <v>10</v>
      </c>
      <c r="G66" s="10">
        <f t="shared" ref="G66:G129" si="3">VLOOKUP(C66,$C$188:$E$224,3,FALSE)</f>
        <v>46265.75</v>
      </c>
      <c r="H66" s="10" t="str">
        <f t="shared" ref="H66:H97" si="4">VLOOKUP(G66,$G$190:$H$193,2,FALSE)</f>
        <v>2º</v>
      </c>
    </row>
    <row r="67" spans="1:8" s="11" customFormat="1" x14ac:dyDescent="0.35">
      <c r="A67" s="7">
        <v>66</v>
      </c>
      <c r="B67" s="7" t="s">
        <v>66</v>
      </c>
      <c r="C67" s="8" t="s">
        <v>192</v>
      </c>
      <c r="D67" s="9" t="s">
        <v>183</v>
      </c>
      <c r="E67" s="20">
        <v>199.83449999999999</v>
      </c>
      <c r="F67" s="23">
        <v>10</v>
      </c>
      <c r="G67" s="10">
        <f t="shared" si="3"/>
        <v>46265.75</v>
      </c>
      <c r="H67" s="10" t="str">
        <f t="shared" si="4"/>
        <v>2º</v>
      </c>
    </row>
    <row r="68" spans="1:8" s="11" customFormat="1" x14ac:dyDescent="0.35">
      <c r="A68" s="7">
        <v>67</v>
      </c>
      <c r="B68" s="7" t="s">
        <v>67</v>
      </c>
      <c r="C68" s="8" t="s">
        <v>184</v>
      </c>
      <c r="D68" s="9" t="s">
        <v>185</v>
      </c>
      <c r="E68" s="20">
        <v>8</v>
      </c>
      <c r="F68" s="23">
        <v>6</v>
      </c>
      <c r="G68" s="10">
        <f t="shared" si="3"/>
        <v>46280.75</v>
      </c>
      <c r="H68" s="10" t="str">
        <f t="shared" si="4"/>
        <v>3º</v>
      </c>
    </row>
    <row r="69" spans="1:8" s="11" customFormat="1" x14ac:dyDescent="0.35">
      <c r="A69" s="7">
        <v>68</v>
      </c>
      <c r="B69" s="7" t="s">
        <v>68</v>
      </c>
      <c r="C69" s="8" t="s">
        <v>184</v>
      </c>
      <c r="D69" s="9" t="s">
        <v>185</v>
      </c>
      <c r="E69" s="20">
        <v>8</v>
      </c>
      <c r="F69" s="23">
        <v>8</v>
      </c>
      <c r="G69" s="10">
        <f t="shared" si="3"/>
        <v>46280.75</v>
      </c>
      <c r="H69" s="10" t="str">
        <f t="shared" si="4"/>
        <v>3º</v>
      </c>
    </row>
    <row r="70" spans="1:8" s="11" customFormat="1" x14ac:dyDescent="0.35">
      <c r="A70" s="7">
        <v>69</v>
      </c>
      <c r="B70" s="7" t="s">
        <v>69</v>
      </c>
      <c r="C70" s="8" t="s">
        <v>184</v>
      </c>
      <c r="D70" s="9" t="s">
        <v>185</v>
      </c>
      <c r="E70" s="20">
        <v>20</v>
      </c>
      <c r="F70" s="23">
        <v>18</v>
      </c>
      <c r="G70" s="10">
        <f t="shared" si="3"/>
        <v>46280.75</v>
      </c>
      <c r="H70" s="10" t="str">
        <f t="shared" si="4"/>
        <v>3º</v>
      </c>
    </row>
    <row r="71" spans="1:8" s="11" customFormat="1" x14ac:dyDescent="0.35">
      <c r="A71" s="7">
        <v>70</v>
      </c>
      <c r="B71" s="7" t="s">
        <v>70</v>
      </c>
      <c r="C71" s="8" t="s">
        <v>207</v>
      </c>
      <c r="D71" s="9" t="s">
        <v>190</v>
      </c>
      <c r="E71" s="20">
        <v>277.06689</v>
      </c>
      <c r="F71" s="23">
        <v>23</v>
      </c>
      <c r="G71" s="10">
        <f t="shared" si="3"/>
        <v>46280.75</v>
      </c>
      <c r="H71" s="10" t="str">
        <f t="shared" si="4"/>
        <v>3º</v>
      </c>
    </row>
    <row r="72" spans="1:8" s="11" customFormat="1" x14ac:dyDescent="0.35">
      <c r="A72" s="7">
        <v>71</v>
      </c>
      <c r="B72" s="7" t="s">
        <v>71</v>
      </c>
      <c r="C72" s="8" t="s">
        <v>188</v>
      </c>
      <c r="D72" s="9" t="s">
        <v>183</v>
      </c>
      <c r="E72" s="20">
        <v>53.271999999999998</v>
      </c>
      <c r="F72" s="23">
        <v>14</v>
      </c>
      <c r="G72" s="10">
        <f t="shared" si="3"/>
        <v>46251.75</v>
      </c>
      <c r="H72" s="10" t="str">
        <f t="shared" si="4"/>
        <v>1º</v>
      </c>
    </row>
    <row r="73" spans="1:8" s="11" customFormat="1" x14ac:dyDescent="0.35">
      <c r="A73" s="7">
        <v>72</v>
      </c>
      <c r="B73" s="7" t="s">
        <v>72</v>
      </c>
      <c r="C73" s="8" t="s">
        <v>188</v>
      </c>
      <c r="D73" s="9" t="s">
        <v>183</v>
      </c>
      <c r="E73" s="20">
        <v>37.658000000000001</v>
      </c>
      <c r="F73" s="23">
        <v>15</v>
      </c>
      <c r="G73" s="10">
        <f t="shared" si="3"/>
        <v>46251.75</v>
      </c>
      <c r="H73" s="10" t="str">
        <f t="shared" si="4"/>
        <v>1º</v>
      </c>
    </row>
    <row r="74" spans="1:8" s="11" customFormat="1" x14ac:dyDescent="0.35">
      <c r="A74" s="7">
        <v>73</v>
      </c>
      <c r="B74" s="7" t="s">
        <v>73</v>
      </c>
      <c r="C74" s="8" t="s">
        <v>188</v>
      </c>
      <c r="D74" s="9" t="s">
        <v>183</v>
      </c>
      <c r="E74" s="20">
        <v>43.927250000000001</v>
      </c>
      <c r="F74" s="23">
        <v>19</v>
      </c>
      <c r="G74" s="10">
        <f t="shared" si="3"/>
        <v>46251.75</v>
      </c>
      <c r="H74" s="10" t="str">
        <f t="shared" si="4"/>
        <v>1º</v>
      </c>
    </row>
    <row r="75" spans="1:8" s="11" customFormat="1" x14ac:dyDescent="0.35">
      <c r="A75" s="7">
        <v>74</v>
      </c>
      <c r="B75" s="7" t="s">
        <v>74</v>
      </c>
      <c r="C75" s="8" t="s">
        <v>207</v>
      </c>
      <c r="D75" s="9" t="s">
        <v>190</v>
      </c>
      <c r="E75" s="20">
        <v>49.398749999999993</v>
      </c>
      <c r="F75" s="23">
        <v>4</v>
      </c>
      <c r="G75" s="10">
        <f t="shared" si="3"/>
        <v>46280.75</v>
      </c>
      <c r="H75" s="10" t="str">
        <f t="shared" si="4"/>
        <v>3º</v>
      </c>
    </row>
    <row r="76" spans="1:8" s="11" customFormat="1" x14ac:dyDescent="0.35">
      <c r="A76" s="7">
        <v>75</v>
      </c>
      <c r="B76" s="7" t="s">
        <v>75</v>
      </c>
      <c r="C76" s="8" t="s">
        <v>193</v>
      </c>
      <c r="D76" s="9" t="s">
        <v>183</v>
      </c>
      <c r="E76" s="20">
        <v>55.228249999999996</v>
      </c>
      <c r="F76" s="23">
        <v>7</v>
      </c>
      <c r="G76" s="10">
        <f t="shared" si="3"/>
        <v>46265.75</v>
      </c>
      <c r="H76" s="10" t="str">
        <f t="shared" si="4"/>
        <v>2º</v>
      </c>
    </row>
    <row r="77" spans="1:8" s="11" customFormat="1" x14ac:dyDescent="0.35">
      <c r="A77" s="7">
        <v>76</v>
      </c>
      <c r="B77" s="7" t="s">
        <v>76</v>
      </c>
      <c r="C77" s="8" t="s">
        <v>208</v>
      </c>
      <c r="D77" s="9" t="s">
        <v>183</v>
      </c>
      <c r="E77" s="20">
        <v>54.102999999999987</v>
      </c>
      <c r="F77" s="23">
        <v>10</v>
      </c>
      <c r="G77" s="10">
        <f t="shared" si="3"/>
        <v>46265.75</v>
      </c>
      <c r="H77" s="10" t="str">
        <f t="shared" si="4"/>
        <v>2º</v>
      </c>
    </row>
    <row r="78" spans="1:8" s="11" customFormat="1" x14ac:dyDescent="0.35">
      <c r="A78" s="7">
        <v>77</v>
      </c>
      <c r="B78" s="7" t="s">
        <v>77</v>
      </c>
      <c r="C78" s="8" t="s">
        <v>182</v>
      </c>
      <c r="D78" s="9" t="s">
        <v>183</v>
      </c>
      <c r="E78" s="20">
        <v>102.95600000000002</v>
      </c>
      <c r="F78" s="23">
        <v>12</v>
      </c>
      <c r="G78" s="10">
        <f t="shared" si="3"/>
        <v>46251.75</v>
      </c>
      <c r="H78" s="10" t="str">
        <f t="shared" si="4"/>
        <v>1º</v>
      </c>
    </row>
    <row r="79" spans="1:8" s="11" customFormat="1" x14ac:dyDescent="0.35">
      <c r="A79" s="7">
        <v>78</v>
      </c>
      <c r="B79" s="7" t="s">
        <v>78</v>
      </c>
      <c r="C79" s="8" t="s">
        <v>184</v>
      </c>
      <c r="D79" s="9" t="s">
        <v>185</v>
      </c>
      <c r="E79" s="20">
        <v>147.85348999999999</v>
      </c>
      <c r="F79" s="23">
        <v>10</v>
      </c>
      <c r="G79" s="10">
        <f t="shared" si="3"/>
        <v>46280.75</v>
      </c>
      <c r="H79" s="10" t="str">
        <f t="shared" si="4"/>
        <v>3º</v>
      </c>
    </row>
    <row r="80" spans="1:8" s="11" customFormat="1" x14ac:dyDescent="0.35">
      <c r="A80" s="7">
        <v>79</v>
      </c>
      <c r="B80" s="7" t="s">
        <v>79</v>
      </c>
      <c r="C80" s="8" t="s">
        <v>184</v>
      </c>
      <c r="D80" s="9" t="s">
        <v>185</v>
      </c>
      <c r="E80" s="20">
        <v>152.19353999999998</v>
      </c>
      <c r="F80" s="23">
        <v>6</v>
      </c>
      <c r="G80" s="10">
        <f t="shared" si="3"/>
        <v>46280.75</v>
      </c>
      <c r="H80" s="10" t="str">
        <f t="shared" si="4"/>
        <v>3º</v>
      </c>
    </row>
    <row r="81" spans="1:8" s="11" customFormat="1" x14ac:dyDescent="0.35">
      <c r="A81" s="7">
        <v>80</v>
      </c>
      <c r="B81" s="7" t="s">
        <v>80</v>
      </c>
      <c r="C81" s="8" t="s">
        <v>188</v>
      </c>
      <c r="D81" s="9" t="s">
        <v>183</v>
      </c>
      <c r="E81" s="20">
        <v>107.57289</v>
      </c>
      <c r="F81" s="23">
        <v>13</v>
      </c>
      <c r="G81" s="10">
        <f t="shared" si="3"/>
        <v>46251.75</v>
      </c>
      <c r="H81" s="10" t="str">
        <f t="shared" si="4"/>
        <v>1º</v>
      </c>
    </row>
    <row r="82" spans="1:8" s="11" customFormat="1" x14ac:dyDescent="0.35">
      <c r="A82" s="7">
        <v>81</v>
      </c>
      <c r="B82" s="7" t="s">
        <v>81</v>
      </c>
      <c r="C82" s="8" t="s">
        <v>193</v>
      </c>
      <c r="D82" s="9" t="s">
        <v>183</v>
      </c>
      <c r="E82" s="20">
        <v>74.783419999999992</v>
      </c>
      <c r="F82" s="23">
        <v>4</v>
      </c>
      <c r="G82" s="10">
        <f t="shared" si="3"/>
        <v>46265.75</v>
      </c>
      <c r="H82" s="10" t="str">
        <f t="shared" si="4"/>
        <v>2º</v>
      </c>
    </row>
    <row r="83" spans="1:8" s="11" customFormat="1" x14ac:dyDescent="0.35">
      <c r="A83" s="7">
        <v>82</v>
      </c>
      <c r="B83" s="7" t="s">
        <v>82</v>
      </c>
      <c r="C83" s="8" t="s">
        <v>208</v>
      </c>
      <c r="D83" s="9" t="s">
        <v>183</v>
      </c>
      <c r="E83" s="20">
        <v>77.044780000000003</v>
      </c>
      <c r="F83" s="23">
        <v>4</v>
      </c>
      <c r="G83" s="10">
        <f t="shared" si="3"/>
        <v>46265.75</v>
      </c>
      <c r="H83" s="10" t="str">
        <f t="shared" si="4"/>
        <v>2º</v>
      </c>
    </row>
    <row r="84" spans="1:8" s="11" customFormat="1" x14ac:dyDescent="0.35">
      <c r="A84" s="7">
        <v>83</v>
      </c>
      <c r="B84" s="7" t="s">
        <v>83</v>
      </c>
      <c r="C84" s="8" t="s">
        <v>186</v>
      </c>
      <c r="D84" s="9" t="s">
        <v>183</v>
      </c>
      <c r="E84" s="20">
        <v>281.012</v>
      </c>
      <c r="F84" s="23">
        <v>25</v>
      </c>
      <c r="G84" s="10">
        <f t="shared" si="3"/>
        <v>46251.75</v>
      </c>
      <c r="H84" s="10" t="str">
        <f t="shared" si="4"/>
        <v>1º</v>
      </c>
    </row>
    <row r="85" spans="1:8" s="11" customFormat="1" x14ac:dyDescent="0.35">
      <c r="A85" s="7">
        <v>84</v>
      </c>
      <c r="B85" s="7" t="s">
        <v>84</v>
      </c>
      <c r="C85" s="8" t="s">
        <v>186</v>
      </c>
      <c r="D85" s="9" t="s">
        <v>183</v>
      </c>
      <c r="E85" s="20">
        <v>284.38999999999993</v>
      </c>
      <c r="F85" s="23">
        <v>20</v>
      </c>
      <c r="G85" s="10">
        <f t="shared" si="3"/>
        <v>46251.75</v>
      </c>
      <c r="H85" s="10" t="str">
        <f t="shared" si="4"/>
        <v>1º</v>
      </c>
    </row>
    <row r="86" spans="1:8" s="11" customFormat="1" x14ac:dyDescent="0.35">
      <c r="A86" s="7">
        <v>85</v>
      </c>
      <c r="B86" s="7" t="s">
        <v>85</v>
      </c>
      <c r="C86" s="8" t="s">
        <v>186</v>
      </c>
      <c r="D86" s="9" t="s">
        <v>183</v>
      </c>
      <c r="E86" s="20">
        <v>395.37724999999995</v>
      </c>
      <c r="F86" s="23">
        <v>76</v>
      </c>
      <c r="G86" s="10">
        <f t="shared" si="3"/>
        <v>46251.75</v>
      </c>
      <c r="H86" s="10" t="str">
        <f t="shared" si="4"/>
        <v>1º</v>
      </c>
    </row>
    <row r="87" spans="1:8" s="11" customFormat="1" x14ac:dyDescent="0.35">
      <c r="A87" s="7">
        <v>86</v>
      </c>
      <c r="B87" s="7" t="s">
        <v>86</v>
      </c>
      <c r="C87" s="8" t="s">
        <v>193</v>
      </c>
      <c r="D87" s="9" t="s">
        <v>183</v>
      </c>
      <c r="E87" s="20">
        <v>145.83591000000001</v>
      </c>
      <c r="F87" s="23">
        <v>7</v>
      </c>
      <c r="G87" s="10">
        <f t="shared" si="3"/>
        <v>46265.75</v>
      </c>
      <c r="H87" s="10" t="str">
        <f t="shared" si="4"/>
        <v>2º</v>
      </c>
    </row>
    <row r="88" spans="1:8" s="11" customFormat="1" x14ac:dyDescent="0.35">
      <c r="A88" s="7">
        <v>87</v>
      </c>
      <c r="B88" s="7" t="s">
        <v>87</v>
      </c>
      <c r="C88" s="8" t="s">
        <v>208</v>
      </c>
      <c r="D88" s="9" t="s">
        <v>183</v>
      </c>
      <c r="E88" s="20">
        <v>146.68392</v>
      </c>
      <c r="F88" s="23">
        <v>10</v>
      </c>
      <c r="G88" s="10">
        <f t="shared" si="3"/>
        <v>46265.75</v>
      </c>
      <c r="H88" s="10" t="str">
        <f t="shared" si="4"/>
        <v>2º</v>
      </c>
    </row>
    <row r="89" spans="1:8" s="11" customFormat="1" x14ac:dyDescent="0.35">
      <c r="A89" s="7">
        <v>88</v>
      </c>
      <c r="B89" s="7" t="s">
        <v>88</v>
      </c>
      <c r="C89" s="8" t="s">
        <v>182</v>
      </c>
      <c r="D89" s="9" t="s">
        <v>183</v>
      </c>
      <c r="E89" s="20">
        <v>229.83519999999999</v>
      </c>
      <c r="F89" s="23">
        <v>10</v>
      </c>
      <c r="G89" s="10">
        <f t="shared" si="3"/>
        <v>46251.75</v>
      </c>
      <c r="H89" s="10" t="str">
        <f t="shared" si="4"/>
        <v>1º</v>
      </c>
    </row>
    <row r="90" spans="1:8" s="11" customFormat="1" x14ac:dyDescent="0.35">
      <c r="A90" s="7">
        <v>89</v>
      </c>
      <c r="B90" s="7" t="s">
        <v>89</v>
      </c>
      <c r="C90" s="8" t="s">
        <v>184</v>
      </c>
      <c r="D90" s="9" t="s">
        <v>185</v>
      </c>
      <c r="E90" s="20">
        <v>106.92400000000001</v>
      </c>
      <c r="F90" s="23">
        <v>7</v>
      </c>
      <c r="G90" s="10">
        <f t="shared" si="3"/>
        <v>46280.75</v>
      </c>
      <c r="H90" s="10" t="str">
        <f t="shared" si="4"/>
        <v>3º</v>
      </c>
    </row>
    <row r="91" spans="1:8" s="11" customFormat="1" x14ac:dyDescent="0.35">
      <c r="A91" s="7">
        <v>90</v>
      </c>
      <c r="B91" s="7" t="s">
        <v>90</v>
      </c>
      <c r="C91" s="8" t="s">
        <v>184</v>
      </c>
      <c r="D91" s="9" t="s">
        <v>185</v>
      </c>
      <c r="E91" s="20">
        <v>63.938400000000001</v>
      </c>
      <c r="F91" s="23">
        <v>5</v>
      </c>
      <c r="G91" s="10">
        <f t="shared" si="3"/>
        <v>46280.75</v>
      </c>
      <c r="H91" s="10" t="str">
        <f t="shared" si="4"/>
        <v>3º</v>
      </c>
    </row>
    <row r="92" spans="1:8" s="11" customFormat="1" x14ac:dyDescent="0.35">
      <c r="A92" s="7">
        <v>91</v>
      </c>
      <c r="B92" s="7" t="s">
        <v>91</v>
      </c>
      <c r="C92" s="8" t="s">
        <v>180</v>
      </c>
      <c r="D92" s="9" t="s">
        <v>202</v>
      </c>
      <c r="E92" s="20">
        <v>624.96249999999986</v>
      </c>
      <c r="F92" s="23">
        <v>55</v>
      </c>
      <c r="G92" s="10">
        <f t="shared" si="3"/>
        <v>46287.75</v>
      </c>
      <c r="H92" s="10" t="str">
        <f t="shared" si="4"/>
        <v>4º</v>
      </c>
    </row>
    <row r="93" spans="1:8" s="11" customFormat="1" x14ac:dyDescent="0.35">
      <c r="A93" s="7">
        <v>92</v>
      </c>
      <c r="B93" s="7" t="s">
        <v>92</v>
      </c>
      <c r="C93" s="8" t="s">
        <v>209</v>
      </c>
      <c r="D93" s="9" t="s">
        <v>185</v>
      </c>
      <c r="E93" s="20">
        <v>228.32509999999999</v>
      </c>
      <c r="F93" s="23">
        <v>15</v>
      </c>
      <c r="G93" s="10">
        <f t="shared" si="3"/>
        <v>46280.75</v>
      </c>
      <c r="H93" s="10" t="str">
        <f t="shared" si="4"/>
        <v>3º</v>
      </c>
    </row>
    <row r="94" spans="1:8" s="11" customFormat="1" x14ac:dyDescent="0.35">
      <c r="A94" s="7">
        <v>93</v>
      </c>
      <c r="B94" s="7" t="s">
        <v>93</v>
      </c>
      <c r="C94" s="8" t="s">
        <v>187</v>
      </c>
      <c r="D94" s="9" t="s">
        <v>183</v>
      </c>
      <c r="E94" s="20">
        <v>114.68663999999998</v>
      </c>
      <c r="F94" s="23">
        <v>4</v>
      </c>
      <c r="G94" s="10">
        <f t="shared" si="3"/>
        <v>46265.75</v>
      </c>
      <c r="H94" s="10" t="str">
        <f t="shared" si="4"/>
        <v>2º</v>
      </c>
    </row>
    <row r="95" spans="1:8" s="11" customFormat="1" x14ac:dyDescent="0.35">
      <c r="A95" s="7">
        <v>94</v>
      </c>
      <c r="B95" s="7" t="s">
        <v>94</v>
      </c>
      <c r="C95" s="8" t="s">
        <v>192</v>
      </c>
      <c r="D95" s="9" t="s">
        <v>183</v>
      </c>
      <c r="E95" s="20">
        <v>114.26125999999999</v>
      </c>
      <c r="F95" s="23">
        <v>4</v>
      </c>
      <c r="G95" s="10">
        <f t="shared" si="3"/>
        <v>46265.75</v>
      </c>
      <c r="H95" s="10" t="str">
        <f t="shared" si="4"/>
        <v>2º</v>
      </c>
    </row>
    <row r="96" spans="1:8" s="11" customFormat="1" x14ac:dyDescent="0.35">
      <c r="A96" s="7">
        <v>95</v>
      </c>
      <c r="B96" s="7" t="s">
        <v>95</v>
      </c>
      <c r="C96" s="8" t="s">
        <v>186</v>
      </c>
      <c r="D96" s="9" t="s">
        <v>183</v>
      </c>
      <c r="E96" s="20">
        <v>529.06935999999996</v>
      </c>
      <c r="F96" s="23">
        <v>74</v>
      </c>
      <c r="G96" s="10">
        <f t="shared" si="3"/>
        <v>46251.75</v>
      </c>
      <c r="H96" s="10" t="str">
        <f t="shared" si="4"/>
        <v>1º</v>
      </c>
    </row>
    <row r="97" spans="1:8" s="11" customFormat="1" x14ac:dyDescent="0.35">
      <c r="A97" s="7">
        <v>96</v>
      </c>
      <c r="B97" s="7" t="s">
        <v>96</v>
      </c>
      <c r="C97" s="8" t="s">
        <v>210</v>
      </c>
      <c r="D97" s="9" t="s">
        <v>190</v>
      </c>
      <c r="E97" s="20">
        <v>425.29091999999997</v>
      </c>
      <c r="F97" s="23">
        <v>13</v>
      </c>
      <c r="G97" s="10">
        <f t="shared" si="3"/>
        <v>46280.75</v>
      </c>
      <c r="H97" s="10" t="str">
        <f t="shared" si="4"/>
        <v>3º</v>
      </c>
    </row>
    <row r="98" spans="1:8" s="11" customFormat="1" x14ac:dyDescent="0.35">
      <c r="A98" s="7">
        <v>97</v>
      </c>
      <c r="B98" s="7" t="s">
        <v>97</v>
      </c>
      <c r="C98" s="8" t="s">
        <v>191</v>
      </c>
      <c r="D98" s="9" t="s">
        <v>185</v>
      </c>
      <c r="E98" s="20">
        <v>2.2212000000000001</v>
      </c>
      <c r="F98" s="23">
        <v>2</v>
      </c>
      <c r="G98" s="10">
        <f t="shared" si="3"/>
        <v>46280.75</v>
      </c>
      <c r="H98" s="10" t="str">
        <f t="shared" ref="H98:H129" si="5">VLOOKUP(G98,$G$190:$H$193,2,FALSE)</f>
        <v>3º</v>
      </c>
    </row>
    <row r="99" spans="1:8" s="11" customFormat="1" x14ac:dyDescent="0.35">
      <c r="A99" s="7">
        <v>98</v>
      </c>
      <c r="B99" s="7" t="s">
        <v>98</v>
      </c>
      <c r="C99" s="8" t="s">
        <v>191</v>
      </c>
      <c r="D99" s="9" t="s">
        <v>185</v>
      </c>
      <c r="E99" s="20">
        <v>2.2212000000000001</v>
      </c>
      <c r="F99" s="23">
        <v>2</v>
      </c>
      <c r="G99" s="10">
        <f t="shared" si="3"/>
        <v>46280.75</v>
      </c>
      <c r="H99" s="10" t="str">
        <f t="shared" si="5"/>
        <v>3º</v>
      </c>
    </row>
    <row r="100" spans="1:8" s="11" customFormat="1" x14ac:dyDescent="0.35">
      <c r="A100" s="7">
        <v>99</v>
      </c>
      <c r="B100" s="7" t="s">
        <v>99</v>
      </c>
      <c r="C100" s="8" t="s">
        <v>180</v>
      </c>
      <c r="D100" s="9" t="s">
        <v>202</v>
      </c>
      <c r="E100" s="20">
        <v>13.650000000000002</v>
      </c>
      <c r="F100" s="23">
        <v>8</v>
      </c>
      <c r="G100" s="10">
        <f t="shared" si="3"/>
        <v>46287.75</v>
      </c>
      <c r="H100" s="10" t="str">
        <f t="shared" si="5"/>
        <v>4º</v>
      </c>
    </row>
    <row r="101" spans="1:8" s="11" customFormat="1" x14ac:dyDescent="0.35">
      <c r="A101" s="7">
        <v>100</v>
      </c>
      <c r="B101" s="7" t="s">
        <v>100</v>
      </c>
      <c r="C101" s="8" t="s">
        <v>180</v>
      </c>
      <c r="D101" s="9" t="s">
        <v>202</v>
      </c>
      <c r="E101" s="20">
        <v>20.85</v>
      </c>
      <c r="F101" s="23">
        <v>18</v>
      </c>
      <c r="G101" s="10">
        <f t="shared" si="3"/>
        <v>46287.75</v>
      </c>
      <c r="H101" s="10" t="str">
        <f t="shared" si="5"/>
        <v>4º</v>
      </c>
    </row>
    <row r="102" spans="1:8" s="11" customFormat="1" x14ac:dyDescent="0.35">
      <c r="A102" s="7">
        <v>101</v>
      </c>
      <c r="B102" s="7" t="s">
        <v>101</v>
      </c>
      <c r="C102" s="8" t="s">
        <v>184</v>
      </c>
      <c r="D102" s="9" t="s">
        <v>185</v>
      </c>
      <c r="E102" s="20">
        <v>21.528000000000002</v>
      </c>
      <c r="F102" s="23">
        <v>6</v>
      </c>
      <c r="G102" s="10">
        <f t="shared" si="3"/>
        <v>46280.75</v>
      </c>
      <c r="H102" s="10" t="str">
        <f t="shared" si="5"/>
        <v>3º</v>
      </c>
    </row>
    <row r="103" spans="1:8" s="11" customFormat="1" x14ac:dyDescent="0.35">
      <c r="A103" s="7">
        <v>102</v>
      </c>
      <c r="B103" s="7" t="s">
        <v>102</v>
      </c>
      <c r="C103" s="8" t="s">
        <v>186</v>
      </c>
      <c r="D103" s="9" t="s">
        <v>183</v>
      </c>
      <c r="E103" s="20">
        <v>31.864800000000002</v>
      </c>
      <c r="F103" s="23">
        <v>20</v>
      </c>
      <c r="G103" s="10">
        <f t="shared" si="3"/>
        <v>46251.75</v>
      </c>
      <c r="H103" s="10" t="str">
        <f t="shared" si="5"/>
        <v>1º</v>
      </c>
    </row>
    <row r="104" spans="1:8" s="11" customFormat="1" x14ac:dyDescent="0.35">
      <c r="A104" s="7">
        <v>103</v>
      </c>
      <c r="B104" s="7" t="s">
        <v>103</v>
      </c>
      <c r="C104" s="8" t="s">
        <v>180</v>
      </c>
      <c r="D104" s="9" t="s">
        <v>202</v>
      </c>
      <c r="E104" s="20">
        <v>18.226799999999997</v>
      </c>
      <c r="F104" s="23">
        <v>8</v>
      </c>
      <c r="G104" s="10">
        <f t="shared" si="3"/>
        <v>46287.75</v>
      </c>
      <c r="H104" s="10" t="str">
        <f t="shared" si="5"/>
        <v>4º</v>
      </c>
    </row>
    <row r="105" spans="1:8" s="11" customFormat="1" x14ac:dyDescent="0.35">
      <c r="A105" s="7">
        <v>104</v>
      </c>
      <c r="B105" s="7" t="s">
        <v>104</v>
      </c>
      <c r="C105" s="8" t="s">
        <v>206</v>
      </c>
      <c r="D105" s="9" t="s">
        <v>185</v>
      </c>
      <c r="E105" s="20">
        <v>72.392400000000009</v>
      </c>
      <c r="F105" s="23">
        <v>12</v>
      </c>
      <c r="G105" s="10">
        <f t="shared" si="3"/>
        <v>46280.75</v>
      </c>
      <c r="H105" s="10" t="str">
        <f t="shared" si="5"/>
        <v>3º</v>
      </c>
    </row>
    <row r="106" spans="1:8" s="11" customFormat="1" x14ac:dyDescent="0.35">
      <c r="A106" s="7">
        <v>105</v>
      </c>
      <c r="B106" s="7" t="s">
        <v>105</v>
      </c>
      <c r="C106" s="8" t="s">
        <v>189</v>
      </c>
      <c r="D106" s="9" t="s">
        <v>190</v>
      </c>
      <c r="E106" s="20">
        <v>77.943200000000019</v>
      </c>
      <c r="F106" s="23">
        <v>22</v>
      </c>
      <c r="G106" s="10">
        <f t="shared" si="3"/>
        <v>46280.75</v>
      </c>
      <c r="H106" s="10" t="str">
        <f t="shared" si="5"/>
        <v>3º</v>
      </c>
    </row>
    <row r="107" spans="1:8" s="11" customFormat="1" x14ac:dyDescent="0.35">
      <c r="A107" s="7">
        <v>106</v>
      </c>
      <c r="B107" s="7" t="s">
        <v>106</v>
      </c>
      <c r="C107" s="8" t="s">
        <v>184</v>
      </c>
      <c r="D107" s="9" t="s">
        <v>185</v>
      </c>
      <c r="E107" s="20">
        <v>42.660600000000002</v>
      </c>
      <c r="F107" s="23">
        <v>26</v>
      </c>
      <c r="G107" s="10">
        <f t="shared" si="3"/>
        <v>46280.75</v>
      </c>
      <c r="H107" s="10" t="str">
        <f t="shared" si="5"/>
        <v>3º</v>
      </c>
    </row>
    <row r="108" spans="1:8" s="11" customFormat="1" x14ac:dyDescent="0.35">
      <c r="A108" s="7">
        <v>107</v>
      </c>
      <c r="B108" s="7" t="s">
        <v>107</v>
      </c>
      <c r="C108" s="8" t="s">
        <v>187</v>
      </c>
      <c r="D108" s="9" t="s">
        <v>183</v>
      </c>
      <c r="E108" s="20">
        <v>17.311600000000002</v>
      </c>
      <c r="F108" s="23">
        <v>6</v>
      </c>
      <c r="G108" s="10">
        <f t="shared" si="3"/>
        <v>46265.75</v>
      </c>
      <c r="H108" s="10" t="str">
        <f t="shared" si="5"/>
        <v>2º</v>
      </c>
    </row>
    <row r="109" spans="1:8" s="11" customFormat="1" x14ac:dyDescent="0.35">
      <c r="A109" s="7">
        <v>108</v>
      </c>
      <c r="B109" s="7" t="s">
        <v>108</v>
      </c>
      <c r="C109" s="8" t="s">
        <v>192</v>
      </c>
      <c r="D109" s="9" t="s">
        <v>183</v>
      </c>
      <c r="E109" s="20">
        <v>17.279199999999999</v>
      </c>
      <c r="F109" s="23">
        <v>6</v>
      </c>
      <c r="G109" s="10">
        <f t="shared" si="3"/>
        <v>46265.75</v>
      </c>
      <c r="H109" s="10" t="str">
        <f t="shared" si="5"/>
        <v>2º</v>
      </c>
    </row>
    <row r="110" spans="1:8" s="11" customFormat="1" x14ac:dyDescent="0.35">
      <c r="A110" s="7">
        <v>109</v>
      </c>
      <c r="B110" s="7" t="s">
        <v>109</v>
      </c>
      <c r="C110" s="8" t="s">
        <v>193</v>
      </c>
      <c r="D110" s="9" t="s">
        <v>183</v>
      </c>
      <c r="E110" s="20">
        <v>16.436799999999998</v>
      </c>
      <c r="F110" s="23">
        <v>6</v>
      </c>
      <c r="G110" s="10">
        <f t="shared" si="3"/>
        <v>46265.75</v>
      </c>
      <c r="H110" s="10" t="str">
        <f t="shared" si="5"/>
        <v>2º</v>
      </c>
    </row>
    <row r="111" spans="1:8" s="11" customFormat="1" x14ac:dyDescent="0.35">
      <c r="A111" s="7">
        <v>110</v>
      </c>
      <c r="B111" s="7" t="s">
        <v>110</v>
      </c>
      <c r="C111" s="8" t="s">
        <v>208</v>
      </c>
      <c r="D111" s="9" t="s">
        <v>183</v>
      </c>
      <c r="E111" s="20">
        <v>16.436799999999998</v>
      </c>
      <c r="F111" s="23">
        <v>6</v>
      </c>
      <c r="G111" s="10">
        <f t="shared" si="3"/>
        <v>46265.75</v>
      </c>
      <c r="H111" s="10" t="str">
        <f t="shared" si="5"/>
        <v>2º</v>
      </c>
    </row>
    <row r="112" spans="1:8" s="11" customFormat="1" x14ac:dyDescent="0.35">
      <c r="A112" s="7">
        <v>111</v>
      </c>
      <c r="B112" s="7" t="s">
        <v>111</v>
      </c>
      <c r="C112" s="8" t="s">
        <v>188</v>
      </c>
      <c r="D112" s="9" t="s">
        <v>183</v>
      </c>
      <c r="E112" s="20">
        <v>150</v>
      </c>
      <c r="F112" s="23">
        <v>21</v>
      </c>
      <c r="G112" s="10">
        <f t="shared" si="3"/>
        <v>46251.75</v>
      </c>
      <c r="H112" s="10" t="str">
        <f t="shared" si="5"/>
        <v>1º</v>
      </c>
    </row>
    <row r="113" spans="1:8" s="11" customFormat="1" x14ac:dyDescent="0.35">
      <c r="A113" s="7">
        <v>112</v>
      </c>
      <c r="B113" s="7" t="s">
        <v>112</v>
      </c>
      <c r="C113" s="8" t="s">
        <v>211</v>
      </c>
      <c r="D113" s="9" t="s">
        <v>212</v>
      </c>
      <c r="E113" s="20">
        <v>273.38040000000007</v>
      </c>
      <c r="F113" s="23">
        <v>51</v>
      </c>
      <c r="G113" s="10">
        <f t="shared" si="3"/>
        <v>46287.75</v>
      </c>
      <c r="H113" s="10" t="str">
        <f t="shared" si="5"/>
        <v>4º</v>
      </c>
    </row>
    <row r="114" spans="1:8" s="11" customFormat="1" x14ac:dyDescent="0.35">
      <c r="A114" s="7">
        <v>113</v>
      </c>
      <c r="B114" s="7" t="s">
        <v>113</v>
      </c>
      <c r="C114" s="8" t="s">
        <v>211</v>
      </c>
      <c r="D114" s="9" t="s">
        <v>212</v>
      </c>
      <c r="E114" s="20">
        <v>166.95300000000003</v>
      </c>
      <c r="F114" s="23">
        <v>88</v>
      </c>
      <c r="G114" s="10">
        <f t="shared" si="3"/>
        <v>46287.75</v>
      </c>
      <c r="H114" s="10" t="str">
        <f t="shared" si="5"/>
        <v>4º</v>
      </c>
    </row>
    <row r="115" spans="1:8" s="11" customFormat="1" x14ac:dyDescent="0.35">
      <c r="A115" s="7">
        <v>114</v>
      </c>
      <c r="B115" s="7" t="s">
        <v>114</v>
      </c>
      <c r="C115" s="8" t="s">
        <v>180</v>
      </c>
      <c r="D115" s="9" t="s">
        <v>202</v>
      </c>
      <c r="E115" s="20">
        <v>350</v>
      </c>
      <c r="F115" s="23">
        <v>75</v>
      </c>
      <c r="G115" s="10">
        <f t="shared" si="3"/>
        <v>46287.75</v>
      </c>
      <c r="H115" s="10" t="str">
        <f t="shared" si="5"/>
        <v>4º</v>
      </c>
    </row>
    <row r="116" spans="1:8" s="11" customFormat="1" x14ac:dyDescent="0.35">
      <c r="A116" s="7">
        <v>115</v>
      </c>
      <c r="B116" s="7" t="s">
        <v>115</v>
      </c>
      <c r="C116" s="8" t="s">
        <v>206</v>
      </c>
      <c r="D116" s="9" t="s">
        <v>185</v>
      </c>
      <c r="E116" s="20">
        <v>4.5</v>
      </c>
      <c r="F116" s="23">
        <v>21</v>
      </c>
      <c r="G116" s="10">
        <f t="shared" si="3"/>
        <v>46280.75</v>
      </c>
      <c r="H116" s="10" t="str">
        <f t="shared" si="5"/>
        <v>3º</v>
      </c>
    </row>
    <row r="117" spans="1:8" s="11" customFormat="1" x14ac:dyDescent="0.35">
      <c r="A117" s="7">
        <v>116</v>
      </c>
      <c r="B117" s="7" t="s">
        <v>116</v>
      </c>
      <c r="C117" s="8" t="s">
        <v>184</v>
      </c>
      <c r="D117" s="9" t="s">
        <v>185</v>
      </c>
      <c r="E117" s="20">
        <v>190.23475000000002</v>
      </c>
      <c r="F117" s="23">
        <v>8</v>
      </c>
      <c r="G117" s="10">
        <f t="shared" si="3"/>
        <v>46280.75</v>
      </c>
      <c r="H117" s="10" t="str">
        <f t="shared" si="5"/>
        <v>3º</v>
      </c>
    </row>
    <row r="118" spans="1:8" s="11" customFormat="1" x14ac:dyDescent="0.35">
      <c r="A118" s="7">
        <v>117</v>
      </c>
      <c r="B118" s="7" t="s">
        <v>117</v>
      </c>
      <c r="C118" s="8" t="s">
        <v>184</v>
      </c>
      <c r="D118" s="9" t="s">
        <v>185</v>
      </c>
      <c r="E118" s="20">
        <v>115.65133</v>
      </c>
      <c r="F118" s="23">
        <v>6</v>
      </c>
      <c r="G118" s="10">
        <f t="shared" si="3"/>
        <v>46280.75</v>
      </c>
      <c r="H118" s="10" t="str">
        <f t="shared" si="5"/>
        <v>3º</v>
      </c>
    </row>
    <row r="119" spans="1:8" s="11" customFormat="1" x14ac:dyDescent="0.35">
      <c r="A119" s="7">
        <v>118</v>
      </c>
      <c r="B119" s="7" t="s">
        <v>118</v>
      </c>
      <c r="C119" s="8" t="s">
        <v>184</v>
      </c>
      <c r="D119" s="9" t="s">
        <v>185</v>
      </c>
      <c r="E119" s="20">
        <v>385.71559999999999</v>
      </c>
      <c r="F119" s="23">
        <v>12</v>
      </c>
      <c r="G119" s="10">
        <f t="shared" si="3"/>
        <v>46280.75</v>
      </c>
      <c r="H119" s="10" t="str">
        <f t="shared" si="5"/>
        <v>3º</v>
      </c>
    </row>
    <row r="120" spans="1:8" s="11" customFormat="1" x14ac:dyDescent="0.35">
      <c r="A120" s="7">
        <v>119</v>
      </c>
      <c r="B120" s="7" t="s">
        <v>119</v>
      </c>
      <c r="C120" s="8" t="s">
        <v>182</v>
      </c>
      <c r="D120" s="9" t="s">
        <v>183</v>
      </c>
      <c r="E120" s="20">
        <v>429.7072</v>
      </c>
      <c r="F120" s="23">
        <v>20</v>
      </c>
      <c r="G120" s="10">
        <f t="shared" si="3"/>
        <v>46251.75</v>
      </c>
      <c r="H120" s="10" t="str">
        <f t="shared" si="5"/>
        <v>1º</v>
      </c>
    </row>
    <row r="121" spans="1:8" s="11" customFormat="1" x14ac:dyDescent="0.35">
      <c r="A121" s="7">
        <v>120</v>
      </c>
      <c r="B121" s="7" t="s">
        <v>120</v>
      </c>
      <c r="C121" s="8" t="s">
        <v>210</v>
      </c>
      <c r="D121" s="9" t="s">
        <v>190</v>
      </c>
      <c r="E121" s="20">
        <v>127.87341999999998</v>
      </c>
      <c r="F121" s="23">
        <v>4</v>
      </c>
      <c r="G121" s="10">
        <f t="shared" si="3"/>
        <v>46280.75</v>
      </c>
      <c r="H121" s="10" t="str">
        <f t="shared" si="5"/>
        <v>3º</v>
      </c>
    </row>
    <row r="122" spans="1:8" s="11" customFormat="1" x14ac:dyDescent="0.35">
      <c r="A122" s="7">
        <v>121</v>
      </c>
      <c r="B122" s="7" t="s">
        <v>121</v>
      </c>
      <c r="C122" s="8" t="s">
        <v>207</v>
      </c>
      <c r="D122" s="9" t="s">
        <v>190</v>
      </c>
      <c r="E122" s="20">
        <v>129.57493999999997</v>
      </c>
      <c r="F122" s="23">
        <v>4</v>
      </c>
      <c r="G122" s="10">
        <f t="shared" si="3"/>
        <v>46280.75</v>
      </c>
      <c r="H122" s="10" t="str">
        <f t="shared" si="5"/>
        <v>3º</v>
      </c>
    </row>
    <row r="123" spans="1:8" s="11" customFormat="1" x14ac:dyDescent="0.35">
      <c r="A123" s="7">
        <v>122</v>
      </c>
      <c r="B123" s="7" t="s">
        <v>122</v>
      </c>
      <c r="C123" s="8" t="s">
        <v>210</v>
      </c>
      <c r="D123" s="9" t="s">
        <v>190</v>
      </c>
      <c r="E123" s="20">
        <v>314.48681999999997</v>
      </c>
      <c r="F123" s="23">
        <v>10</v>
      </c>
      <c r="G123" s="10">
        <f t="shared" si="3"/>
        <v>46280.75</v>
      </c>
      <c r="H123" s="10" t="str">
        <f t="shared" si="5"/>
        <v>3º</v>
      </c>
    </row>
    <row r="124" spans="1:8" s="11" customFormat="1" x14ac:dyDescent="0.35">
      <c r="A124" s="7">
        <v>123</v>
      </c>
      <c r="B124" s="7" t="s">
        <v>123</v>
      </c>
      <c r="C124" s="8" t="s">
        <v>192</v>
      </c>
      <c r="D124" s="9" t="s">
        <v>183</v>
      </c>
      <c r="E124" s="20">
        <v>172.51175000000003</v>
      </c>
      <c r="F124" s="23">
        <v>25</v>
      </c>
      <c r="G124" s="10">
        <f t="shared" si="3"/>
        <v>46265.75</v>
      </c>
      <c r="H124" s="10" t="str">
        <f t="shared" si="5"/>
        <v>2º</v>
      </c>
    </row>
    <row r="125" spans="1:8" s="11" customFormat="1" x14ac:dyDescent="0.35">
      <c r="A125" s="7">
        <v>124</v>
      </c>
      <c r="B125" s="7" t="s">
        <v>124</v>
      </c>
      <c r="C125" s="8" t="s">
        <v>192</v>
      </c>
      <c r="D125" s="9" t="s">
        <v>183</v>
      </c>
      <c r="E125" s="20">
        <v>94.572749999999999</v>
      </c>
      <c r="F125" s="23">
        <v>14</v>
      </c>
      <c r="G125" s="10">
        <f t="shared" si="3"/>
        <v>46265.75</v>
      </c>
      <c r="H125" s="10" t="str">
        <f t="shared" si="5"/>
        <v>2º</v>
      </c>
    </row>
    <row r="126" spans="1:8" s="11" customFormat="1" x14ac:dyDescent="0.35">
      <c r="A126" s="7">
        <v>125</v>
      </c>
      <c r="B126" s="7" t="s">
        <v>125</v>
      </c>
      <c r="C126" s="8" t="s">
        <v>208</v>
      </c>
      <c r="D126" s="9" t="s">
        <v>183</v>
      </c>
      <c r="E126" s="20">
        <v>167.50725</v>
      </c>
      <c r="F126" s="23">
        <v>27</v>
      </c>
      <c r="G126" s="10">
        <f t="shared" si="3"/>
        <v>46265.75</v>
      </c>
      <c r="H126" s="10" t="str">
        <f t="shared" si="5"/>
        <v>2º</v>
      </c>
    </row>
    <row r="127" spans="1:8" s="11" customFormat="1" x14ac:dyDescent="0.35">
      <c r="A127" s="7">
        <v>126</v>
      </c>
      <c r="B127" s="7" t="s">
        <v>126</v>
      </c>
      <c r="C127" s="8" t="s">
        <v>208</v>
      </c>
      <c r="D127" s="9" t="s">
        <v>183</v>
      </c>
      <c r="E127" s="20">
        <v>172.67250000000004</v>
      </c>
      <c r="F127" s="23">
        <v>25</v>
      </c>
      <c r="G127" s="10">
        <f t="shared" si="3"/>
        <v>46265.75</v>
      </c>
      <c r="H127" s="10" t="str">
        <f t="shared" si="5"/>
        <v>2º</v>
      </c>
    </row>
    <row r="128" spans="1:8" s="11" customFormat="1" x14ac:dyDescent="0.35">
      <c r="A128" s="7">
        <v>127</v>
      </c>
      <c r="B128" s="7" t="s">
        <v>127</v>
      </c>
      <c r="C128" s="8" t="s">
        <v>208</v>
      </c>
      <c r="D128" s="9" t="s">
        <v>183</v>
      </c>
      <c r="E128" s="20">
        <v>167.50725</v>
      </c>
      <c r="F128" s="23">
        <v>27</v>
      </c>
      <c r="G128" s="10">
        <f t="shared" si="3"/>
        <v>46265.75</v>
      </c>
      <c r="H128" s="10" t="str">
        <f t="shared" si="5"/>
        <v>2º</v>
      </c>
    </row>
    <row r="129" spans="1:8" s="11" customFormat="1" x14ac:dyDescent="0.35">
      <c r="A129" s="7">
        <v>128</v>
      </c>
      <c r="B129" s="7" t="s">
        <v>128</v>
      </c>
      <c r="C129" s="8" t="s">
        <v>187</v>
      </c>
      <c r="D129" s="9" t="s">
        <v>183</v>
      </c>
      <c r="E129" s="20">
        <v>100.07300000000001</v>
      </c>
      <c r="F129" s="23">
        <v>13</v>
      </c>
      <c r="G129" s="10">
        <f t="shared" si="3"/>
        <v>46265.75</v>
      </c>
      <c r="H129" s="10" t="str">
        <f t="shared" si="5"/>
        <v>2º</v>
      </c>
    </row>
    <row r="130" spans="1:8" s="11" customFormat="1" x14ac:dyDescent="0.35">
      <c r="A130" s="7">
        <v>129</v>
      </c>
      <c r="B130" s="7" t="s">
        <v>129</v>
      </c>
      <c r="C130" s="8" t="s">
        <v>187</v>
      </c>
      <c r="D130" s="9" t="s">
        <v>183</v>
      </c>
      <c r="E130" s="20">
        <v>100.07300000000001</v>
      </c>
      <c r="F130" s="23">
        <v>13</v>
      </c>
      <c r="G130" s="10">
        <f t="shared" ref="G130:G178" si="6">VLOOKUP(C130,$C$188:$E$224,3,FALSE)</f>
        <v>46265.75</v>
      </c>
      <c r="H130" s="10" t="str">
        <f t="shared" ref="H130:H161" si="7">VLOOKUP(G130,$G$190:$H$193,2,FALSE)</f>
        <v>2º</v>
      </c>
    </row>
    <row r="131" spans="1:8" s="11" customFormat="1" x14ac:dyDescent="0.35">
      <c r="A131" s="7">
        <v>130</v>
      </c>
      <c r="B131" s="7" t="s">
        <v>130</v>
      </c>
      <c r="C131" s="8" t="s">
        <v>187</v>
      </c>
      <c r="D131" s="9" t="s">
        <v>183</v>
      </c>
      <c r="E131" s="20">
        <v>94.572749999999985</v>
      </c>
      <c r="F131" s="23">
        <v>14</v>
      </c>
      <c r="G131" s="10">
        <f t="shared" si="6"/>
        <v>46265.75</v>
      </c>
      <c r="H131" s="10" t="str">
        <f t="shared" si="7"/>
        <v>2º</v>
      </c>
    </row>
    <row r="132" spans="1:8" s="11" customFormat="1" x14ac:dyDescent="0.35">
      <c r="A132" s="7">
        <v>131</v>
      </c>
      <c r="B132" s="7" t="s">
        <v>131</v>
      </c>
      <c r="C132" s="8" t="s">
        <v>203</v>
      </c>
      <c r="D132" s="9" t="s">
        <v>190</v>
      </c>
      <c r="E132" s="20">
        <v>249.4256</v>
      </c>
      <c r="F132" s="23">
        <v>5</v>
      </c>
      <c r="G132" s="10">
        <f t="shared" si="6"/>
        <v>46280.75</v>
      </c>
      <c r="H132" s="10" t="str">
        <f t="shared" si="7"/>
        <v>3º</v>
      </c>
    </row>
    <row r="133" spans="1:8" s="11" customFormat="1" x14ac:dyDescent="0.35">
      <c r="A133" s="7">
        <v>132</v>
      </c>
      <c r="B133" s="7" t="s">
        <v>132</v>
      </c>
      <c r="C133" s="8" t="s">
        <v>207</v>
      </c>
      <c r="D133" s="9" t="s">
        <v>190</v>
      </c>
      <c r="E133" s="20">
        <v>18</v>
      </c>
      <c r="F133" s="23">
        <v>16</v>
      </c>
      <c r="G133" s="10">
        <f t="shared" si="6"/>
        <v>46280.75</v>
      </c>
      <c r="H133" s="10" t="str">
        <f t="shared" si="7"/>
        <v>3º</v>
      </c>
    </row>
    <row r="134" spans="1:8" s="11" customFormat="1" x14ac:dyDescent="0.35">
      <c r="A134" s="7">
        <v>133</v>
      </c>
      <c r="B134" s="7" t="s">
        <v>133</v>
      </c>
      <c r="C134" s="8" t="s">
        <v>203</v>
      </c>
      <c r="D134" s="9" t="s">
        <v>190</v>
      </c>
      <c r="E134" s="20">
        <v>18</v>
      </c>
      <c r="F134" s="23">
        <v>14</v>
      </c>
      <c r="G134" s="10">
        <f t="shared" si="6"/>
        <v>46280.75</v>
      </c>
      <c r="H134" s="10" t="str">
        <f t="shared" si="7"/>
        <v>3º</v>
      </c>
    </row>
    <row r="135" spans="1:8" s="11" customFormat="1" x14ac:dyDescent="0.35">
      <c r="A135" s="7">
        <v>134</v>
      </c>
      <c r="B135" s="7" t="s">
        <v>134</v>
      </c>
      <c r="C135" s="9" t="s">
        <v>208</v>
      </c>
      <c r="D135" s="9" t="s">
        <v>183</v>
      </c>
      <c r="E135" s="20">
        <v>192.27832999999998</v>
      </c>
      <c r="F135" s="23">
        <v>12</v>
      </c>
      <c r="G135" s="10">
        <f t="shared" si="6"/>
        <v>46265.75</v>
      </c>
      <c r="H135" s="10" t="str">
        <f t="shared" si="7"/>
        <v>2º</v>
      </c>
    </row>
    <row r="136" spans="1:8" s="11" customFormat="1" x14ac:dyDescent="0.35">
      <c r="A136" s="7">
        <v>135</v>
      </c>
      <c r="B136" s="7" t="s">
        <v>135</v>
      </c>
      <c r="C136" s="9" t="s">
        <v>208</v>
      </c>
      <c r="D136" s="9" t="s">
        <v>183</v>
      </c>
      <c r="E136" s="20">
        <v>931.70402000000024</v>
      </c>
      <c r="F136" s="23">
        <v>34</v>
      </c>
      <c r="G136" s="10">
        <f t="shared" si="6"/>
        <v>46265.75</v>
      </c>
      <c r="H136" s="10" t="str">
        <f t="shared" si="7"/>
        <v>2º</v>
      </c>
    </row>
    <row r="137" spans="1:8" s="11" customFormat="1" x14ac:dyDescent="0.35">
      <c r="A137" s="7">
        <v>136</v>
      </c>
      <c r="B137" s="7" t="s">
        <v>136</v>
      </c>
      <c r="C137" s="8" t="s">
        <v>189</v>
      </c>
      <c r="D137" s="9" t="s">
        <v>190</v>
      </c>
      <c r="E137" s="20">
        <v>6.4566000000000008</v>
      </c>
      <c r="F137" s="23">
        <v>12</v>
      </c>
      <c r="G137" s="10">
        <f t="shared" si="6"/>
        <v>46280.75</v>
      </c>
      <c r="H137" s="10" t="str">
        <f t="shared" si="7"/>
        <v>3º</v>
      </c>
    </row>
    <row r="138" spans="1:8" s="11" customFormat="1" x14ac:dyDescent="0.35">
      <c r="A138" s="7">
        <v>137</v>
      </c>
      <c r="B138" s="7" t="s">
        <v>137</v>
      </c>
      <c r="C138" s="8" t="s">
        <v>191</v>
      </c>
      <c r="D138" s="9" t="s">
        <v>185</v>
      </c>
      <c r="E138" s="20">
        <v>0.9</v>
      </c>
      <c r="F138" s="23">
        <v>1</v>
      </c>
      <c r="G138" s="10">
        <f t="shared" si="6"/>
        <v>46280.75</v>
      </c>
      <c r="H138" s="10" t="str">
        <f t="shared" si="7"/>
        <v>3º</v>
      </c>
    </row>
    <row r="139" spans="1:8" s="11" customFormat="1" x14ac:dyDescent="0.35">
      <c r="A139" s="7">
        <v>138</v>
      </c>
      <c r="B139" s="7" t="s">
        <v>138</v>
      </c>
      <c r="C139" s="8" t="s">
        <v>207</v>
      </c>
      <c r="D139" s="9" t="s">
        <v>190</v>
      </c>
      <c r="E139" s="20">
        <v>20</v>
      </c>
      <c r="F139" s="23">
        <v>13</v>
      </c>
      <c r="G139" s="10">
        <f t="shared" si="6"/>
        <v>46280.75</v>
      </c>
      <c r="H139" s="10" t="str">
        <f t="shared" si="7"/>
        <v>3º</v>
      </c>
    </row>
    <row r="140" spans="1:8" s="11" customFormat="1" x14ac:dyDescent="0.35">
      <c r="A140" s="7">
        <v>139</v>
      </c>
      <c r="B140" s="7" t="s">
        <v>139</v>
      </c>
      <c r="C140" s="8" t="s">
        <v>210</v>
      </c>
      <c r="D140" s="9" t="s">
        <v>190</v>
      </c>
      <c r="E140" s="20">
        <v>18</v>
      </c>
      <c r="F140" s="23">
        <v>13</v>
      </c>
      <c r="G140" s="10">
        <f t="shared" si="6"/>
        <v>46280.75</v>
      </c>
      <c r="H140" s="10" t="str">
        <f t="shared" si="7"/>
        <v>3º</v>
      </c>
    </row>
    <row r="141" spans="1:8" s="11" customFormat="1" x14ac:dyDescent="0.35">
      <c r="A141" s="7">
        <v>140</v>
      </c>
      <c r="B141" s="7" t="s">
        <v>140</v>
      </c>
      <c r="C141" s="8" t="s">
        <v>192</v>
      </c>
      <c r="D141" s="9" t="s">
        <v>183</v>
      </c>
      <c r="E141" s="20">
        <v>786.64776000000018</v>
      </c>
      <c r="F141" s="23">
        <v>17</v>
      </c>
      <c r="G141" s="10">
        <f t="shared" si="6"/>
        <v>46265.75</v>
      </c>
      <c r="H141" s="10" t="str">
        <f t="shared" si="7"/>
        <v>2º</v>
      </c>
    </row>
    <row r="142" spans="1:8" s="11" customFormat="1" x14ac:dyDescent="0.35">
      <c r="A142" s="7">
        <v>141</v>
      </c>
      <c r="B142" s="7" t="s">
        <v>141</v>
      </c>
      <c r="C142" s="8" t="s">
        <v>192</v>
      </c>
      <c r="D142" s="9" t="s">
        <v>183</v>
      </c>
      <c r="E142" s="20">
        <v>947.27656000000013</v>
      </c>
      <c r="F142" s="23">
        <v>30</v>
      </c>
      <c r="G142" s="10">
        <f t="shared" si="6"/>
        <v>46265.75</v>
      </c>
      <c r="H142" s="10" t="str">
        <f t="shared" si="7"/>
        <v>2º</v>
      </c>
    </row>
    <row r="143" spans="1:8" s="11" customFormat="1" x14ac:dyDescent="0.35">
      <c r="A143" s="7">
        <v>142</v>
      </c>
      <c r="B143" s="7" t="s">
        <v>142</v>
      </c>
      <c r="C143" s="8" t="s">
        <v>187</v>
      </c>
      <c r="D143" s="9" t="s">
        <v>183</v>
      </c>
      <c r="E143" s="20">
        <v>654.99536000000012</v>
      </c>
      <c r="F143" s="23">
        <v>16</v>
      </c>
      <c r="G143" s="10">
        <f t="shared" si="6"/>
        <v>46265.75</v>
      </c>
      <c r="H143" s="10" t="str">
        <f t="shared" si="7"/>
        <v>2º</v>
      </c>
    </row>
    <row r="144" spans="1:8" s="11" customFormat="1" x14ac:dyDescent="0.35">
      <c r="A144" s="7">
        <v>143</v>
      </c>
      <c r="B144" s="7" t="s">
        <v>143</v>
      </c>
      <c r="C144" s="8" t="s">
        <v>208</v>
      </c>
      <c r="D144" s="9" t="s">
        <v>183</v>
      </c>
      <c r="E144" s="20">
        <v>419.67181999999997</v>
      </c>
      <c r="F144" s="23">
        <v>22</v>
      </c>
      <c r="G144" s="10">
        <f t="shared" si="6"/>
        <v>46265.75</v>
      </c>
      <c r="H144" s="10" t="str">
        <f t="shared" si="7"/>
        <v>2º</v>
      </c>
    </row>
    <row r="145" spans="1:8" s="11" customFormat="1" x14ac:dyDescent="0.35">
      <c r="A145" s="7">
        <v>144</v>
      </c>
      <c r="B145" s="7" t="s">
        <v>144</v>
      </c>
      <c r="C145" s="8" t="s">
        <v>193</v>
      </c>
      <c r="D145" s="9" t="s">
        <v>183</v>
      </c>
      <c r="E145" s="20">
        <v>605.64686999999981</v>
      </c>
      <c r="F145" s="23">
        <v>32</v>
      </c>
      <c r="G145" s="10">
        <f t="shared" si="6"/>
        <v>46265.75</v>
      </c>
      <c r="H145" s="10" t="str">
        <f t="shared" si="7"/>
        <v>2º</v>
      </c>
    </row>
    <row r="146" spans="1:8" s="11" customFormat="1" x14ac:dyDescent="0.35">
      <c r="A146" s="7">
        <v>145</v>
      </c>
      <c r="B146" s="7" t="s">
        <v>145</v>
      </c>
      <c r="C146" s="9" t="s">
        <v>189</v>
      </c>
      <c r="D146" s="9" t="s">
        <v>190</v>
      </c>
      <c r="E146" s="20">
        <v>763.58257000000015</v>
      </c>
      <c r="F146" s="23">
        <v>22</v>
      </c>
      <c r="G146" s="10">
        <f t="shared" si="6"/>
        <v>46280.75</v>
      </c>
      <c r="H146" s="10" t="str">
        <f t="shared" si="7"/>
        <v>3º</v>
      </c>
    </row>
    <row r="147" spans="1:8" s="11" customFormat="1" x14ac:dyDescent="0.35">
      <c r="A147" s="7">
        <v>146</v>
      </c>
      <c r="B147" s="7" t="s">
        <v>146</v>
      </c>
      <c r="C147" s="9" t="s">
        <v>210</v>
      </c>
      <c r="D147" s="9" t="s">
        <v>190</v>
      </c>
      <c r="E147" s="20">
        <v>30.4</v>
      </c>
      <c r="F147" s="23">
        <v>1</v>
      </c>
      <c r="G147" s="10">
        <f t="shared" si="6"/>
        <v>46280.75</v>
      </c>
      <c r="H147" s="10" t="str">
        <f t="shared" si="7"/>
        <v>3º</v>
      </c>
    </row>
    <row r="148" spans="1:8" s="11" customFormat="1" x14ac:dyDescent="0.35">
      <c r="A148" s="7">
        <v>147</v>
      </c>
      <c r="B148" s="7" t="s">
        <v>147</v>
      </c>
      <c r="C148" s="9" t="s">
        <v>210</v>
      </c>
      <c r="D148" s="9" t="s">
        <v>190</v>
      </c>
      <c r="E148" s="20">
        <v>30.4</v>
      </c>
      <c r="F148" s="23">
        <v>1</v>
      </c>
      <c r="G148" s="10">
        <f t="shared" si="6"/>
        <v>46280.75</v>
      </c>
      <c r="H148" s="10" t="str">
        <f t="shared" si="7"/>
        <v>3º</v>
      </c>
    </row>
    <row r="149" spans="1:8" s="11" customFormat="1" x14ac:dyDescent="0.35">
      <c r="A149" s="7">
        <v>148</v>
      </c>
      <c r="B149" s="7" t="s">
        <v>148</v>
      </c>
      <c r="C149" s="9" t="s">
        <v>210</v>
      </c>
      <c r="D149" s="9" t="s">
        <v>190</v>
      </c>
      <c r="E149" s="20">
        <v>267.49639999999999</v>
      </c>
      <c r="F149" s="23">
        <v>11</v>
      </c>
      <c r="G149" s="10">
        <f t="shared" si="6"/>
        <v>46280.75</v>
      </c>
      <c r="H149" s="10" t="str">
        <f t="shared" si="7"/>
        <v>3º</v>
      </c>
    </row>
    <row r="150" spans="1:8" s="11" customFormat="1" x14ac:dyDescent="0.35">
      <c r="A150" s="7">
        <v>149</v>
      </c>
      <c r="B150" s="7" t="s">
        <v>149</v>
      </c>
      <c r="C150" s="9" t="s">
        <v>192</v>
      </c>
      <c r="D150" s="9" t="s">
        <v>183</v>
      </c>
      <c r="E150" s="20">
        <v>24</v>
      </c>
      <c r="F150" s="23">
        <v>2</v>
      </c>
      <c r="G150" s="10">
        <f t="shared" si="6"/>
        <v>46265.75</v>
      </c>
      <c r="H150" s="10" t="str">
        <f t="shared" si="7"/>
        <v>2º</v>
      </c>
    </row>
    <row r="151" spans="1:8" s="11" customFormat="1" x14ac:dyDescent="0.35">
      <c r="A151" s="7">
        <v>150</v>
      </c>
      <c r="B151" s="7" t="s">
        <v>150</v>
      </c>
      <c r="C151" s="9" t="s">
        <v>210</v>
      </c>
      <c r="D151" s="9" t="s">
        <v>190</v>
      </c>
      <c r="E151" s="20">
        <v>36.700000000000003</v>
      </c>
      <c r="F151" s="23">
        <v>1</v>
      </c>
      <c r="G151" s="10">
        <f t="shared" si="6"/>
        <v>46280.75</v>
      </c>
      <c r="H151" s="10" t="str">
        <f t="shared" si="7"/>
        <v>3º</v>
      </c>
    </row>
    <row r="152" spans="1:8" s="11" customFormat="1" x14ac:dyDescent="0.35">
      <c r="A152" s="7">
        <v>151</v>
      </c>
      <c r="B152" s="7" t="s">
        <v>151</v>
      </c>
      <c r="C152" s="9" t="s">
        <v>206</v>
      </c>
      <c r="D152" s="9" t="s">
        <v>185</v>
      </c>
      <c r="E152" s="20">
        <v>514.39632999999992</v>
      </c>
      <c r="F152" s="23">
        <v>8</v>
      </c>
      <c r="G152" s="10">
        <f t="shared" si="6"/>
        <v>46280.75</v>
      </c>
      <c r="H152" s="10" t="str">
        <f t="shared" si="7"/>
        <v>3º</v>
      </c>
    </row>
    <row r="153" spans="1:8" s="11" customFormat="1" x14ac:dyDescent="0.35">
      <c r="A153" s="7">
        <v>152</v>
      </c>
      <c r="B153" s="7" t="s">
        <v>152</v>
      </c>
      <c r="C153" s="8" t="s">
        <v>192</v>
      </c>
      <c r="D153" s="9" t="s">
        <v>183</v>
      </c>
      <c r="E153" s="20">
        <v>24</v>
      </c>
      <c r="F153" s="23">
        <v>2</v>
      </c>
      <c r="G153" s="10">
        <f t="shared" si="6"/>
        <v>46265.75</v>
      </c>
      <c r="H153" s="10" t="str">
        <f t="shared" si="7"/>
        <v>2º</v>
      </c>
    </row>
    <row r="154" spans="1:8" s="11" customFormat="1" x14ac:dyDescent="0.35">
      <c r="A154" s="7">
        <v>153</v>
      </c>
      <c r="B154" s="7" t="s">
        <v>153</v>
      </c>
      <c r="C154" s="9" t="s">
        <v>215</v>
      </c>
      <c r="D154" s="9" t="s">
        <v>190</v>
      </c>
      <c r="E154" s="20">
        <v>17.7</v>
      </c>
      <c r="F154" s="23">
        <v>1</v>
      </c>
      <c r="G154" s="10">
        <f t="shared" si="6"/>
        <v>46280.75</v>
      </c>
      <c r="H154" s="10" t="str">
        <f t="shared" si="7"/>
        <v>3º</v>
      </c>
    </row>
    <row r="155" spans="1:8" s="11" customFormat="1" x14ac:dyDescent="0.35">
      <c r="A155" s="7">
        <v>154</v>
      </c>
      <c r="B155" s="7" t="s">
        <v>154</v>
      </c>
      <c r="C155" s="9" t="s">
        <v>206</v>
      </c>
      <c r="D155" s="9" t="s">
        <v>185</v>
      </c>
      <c r="E155" s="20">
        <v>490.93471999999997</v>
      </c>
      <c r="F155" s="23">
        <v>8</v>
      </c>
      <c r="G155" s="10">
        <f t="shared" si="6"/>
        <v>46280.75</v>
      </c>
      <c r="H155" s="10" t="str">
        <f t="shared" si="7"/>
        <v>3º</v>
      </c>
    </row>
    <row r="156" spans="1:8" s="11" customFormat="1" x14ac:dyDescent="0.35">
      <c r="A156" s="7">
        <v>155</v>
      </c>
      <c r="B156" s="7" t="s">
        <v>155</v>
      </c>
      <c r="C156" s="9" t="s">
        <v>188</v>
      </c>
      <c r="D156" s="9" t="s">
        <v>183</v>
      </c>
      <c r="E156" s="20">
        <v>51.959199999999989</v>
      </c>
      <c r="F156" s="23">
        <v>29</v>
      </c>
      <c r="G156" s="10">
        <f t="shared" si="6"/>
        <v>46251.75</v>
      </c>
      <c r="H156" s="10" t="str">
        <f t="shared" si="7"/>
        <v>1º</v>
      </c>
    </row>
    <row r="157" spans="1:8" s="11" customFormat="1" x14ac:dyDescent="0.35">
      <c r="A157" s="7">
        <v>156</v>
      </c>
      <c r="B157" s="7" t="s">
        <v>156</v>
      </c>
      <c r="C157" s="8" t="s">
        <v>207</v>
      </c>
      <c r="D157" s="9" t="s">
        <v>190</v>
      </c>
      <c r="E157" s="20">
        <v>26.528400000000001</v>
      </c>
      <c r="F157" s="23">
        <v>21</v>
      </c>
      <c r="G157" s="10">
        <f t="shared" si="6"/>
        <v>46280.75</v>
      </c>
      <c r="H157" s="10" t="str">
        <f t="shared" si="7"/>
        <v>3º</v>
      </c>
    </row>
    <row r="158" spans="1:8" s="11" customFormat="1" x14ac:dyDescent="0.35">
      <c r="A158" s="7">
        <v>157</v>
      </c>
      <c r="B158" s="7" t="s">
        <v>157</v>
      </c>
      <c r="C158" s="8" t="s">
        <v>207</v>
      </c>
      <c r="D158" s="9" t="s">
        <v>190</v>
      </c>
      <c r="E158" s="20">
        <v>4.0644</v>
      </c>
      <c r="F158" s="23">
        <v>5</v>
      </c>
      <c r="G158" s="10">
        <f t="shared" si="6"/>
        <v>46280.75</v>
      </c>
      <c r="H158" s="10" t="str">
        <f t="shared" si="7"/>
        <v>3º</v>
      </c>
    </row>
    <row r="159" spans="1:8" s="11" customFormat="1" x14ac:dyDescent="0.35">
      <c r="A159" s="7">
        <v>158</v>
      </c>
      <c r="B159" s="7" t="s">
        <v>158</v>
      </c>
      <c r="C159" s="9" t="s">
        <v>187</v>
      </c>
      <c r="D159" s="9" t="s">
        <v>183</v>
      </c>
      <c r="E159" s="20">
        <v>7.9250000000000016</v>
      </c>
      <c r="F159" s="23">
        <v>6</v>
      </c>
      <c r="G159" s="10">
        <f t="shared" si="6"/>
        <v>46265.75</v>
      </c>
      <c r="H159" s="10" t="str">
        <f t="shared" si="7"/>
        <v>2º</v>
      </c>
    </row>
    <row r="160" spans="1:8" s="11" customFormat="1" x14ac:dyDescent="0.35">
      <c r="A160" s="7">
        <v>159</v>
      </c>
      <c r="B160" s="7" t="s">
        <v>159</v>
      </c>
      <c r="C160" s="9" t="s">
        <v>210</v>
      </c>
      <c r="D160" s="9" t="s">
        <v>190</v>
      </c>
      <c r="E160" s="20">
        <v>3.1968000000000005</v>
      </c>
      <c r="F160" s="23">
        <v>4</v>
      </c>
      <c r="G160" s="10">
        <f t="shared" si="6"/>
        <v>46280.75</v>
      </c>
      <c r="H160" s="10" t="str">
        <f t="shared" si="7"/>
        <v>3º</v>
      </c>
    </row>
    <row r="161" spans="1:8" s="11" customFormat="1" x14ac:dyDescent="0.35">
      <c r="A161" s="7">
        <v>160</v>
      </c>
      <c r="B161" s="7" t="s">
        <v>160</v>
      </c>
      <c r="C161" s="9" t="s">
        <v>193</v>
      </c>
      <c r="D161" s="9" t="s">
        <v>183</v>
      </c>
      <c r="E161" s="20">
        <v>9.125</v>
      </c>
      <c r="F161" s="23">
        <v>8</v>
      </c>
      <c r="G161" s="10">
        <f t="shared" si="6"/>
        <v>46265.75</v>
      </c>
      <c r="H161" s="10" t="str">
        <f t="shared" si="7"/>
        <v>2º</v>
      </c>
    </row>
    <row r="162" spans="1:8" s="11" customFormat="1" x14ac:dyDescent="0.35">
      <c r="A162" s="7">
        <v>161</v>
      </c>
      <c r="B162" s="7" t="s">
        <v>161</v>
      </c>
      <c r="C162" s="9" t="s">
        <v>187</v>
      </c>
      <c r="D162" s="9" t="s">
        <v>183</v>
      </c>
      <c r="E162" s="20">
        <v>2</v>
      </c>
      <c r="F162" s="23">
        <v>1</v>
      </c>
      <c r="G162" s="10">
        <f t="shared" si="6"/>
        <v>46265.75</v>
      </c>
      <c r="H162" s="10" t="str">
        <f t="shared" ref="H162:H179" si="8">VLOOKUP(G162,$G$190:$H$193,2,FALSE)</f>
        <v>2º</v>
      </c>
    </row>
    <row r="163" spans="1:8" s="11" customFormat="1" x14ac:dyDescent="0.35">
      <c r="A163" s="7">
        <v>162</v>
      </c>
      <c r="B163" s="7" t="s">
        <v>162</v>
      </c>
      <c r="C163" s="9" t="s">
        <v>215</v>
      </c>
      <c r="D163" s="9" t="s">
        <v>190</v>
      </c>
      <c r="E163" s="20">
        <v>3.1320000000000001</v>
      </c>
      <c r="F163" s="23">
        <v>4</v>
      </c>
      <c r="G163" s="10">
        <f t="shared" si="6"/>
        <v>46280.75</v>
      </c>
      <c r="H163" s="10" t="str">
        <f t="shared" si="8"/>
        <v>3º</v>
      </c>
    </row>
    <row r="164" spans="1:8" s="11" customFormat="1" x14ac:dyDescent="0.35">
      <c r="A164" s="7">
        <v>163</v>
      </c>
      <c r="B164" s="7" t="s">
        <v>163</v>
      </c>
      <c r="C164" s="9" t="s">
        <v>192</v>
      </c>
      <c r="D164" s="9" t="s">
        <v>183</v>
      </c>
      <c r="E164" s="20">
        <v>7.9</v>
      </c>
      <c r="F164" s="23">
        <v>6</v>
      </c>
      <c r="G164" s="10">
        <f t="shared" si="6"/>
        <v>46265.75</v>
      </c>
      <c r="H164" s="10" t="str">
        <f t="shared" si="8"/>
        <v>2º</v>
      </c>
    </row>
    <row r="165" spans="1:8" s="11" customFormat="1" x14ac:dyDescent="0.35">
      <c r="A165" s="7">
        <v>164</v>
      </c>
      <c r="B165" s="7" t="s">
        <v>164</v>
      </c>
      <c r="C165" s="9" t="s">
        <v>208</v>
      </c>
      <c r="D165" s="9" t="s">
        <v>183</v>
      </c>
      <c r="E165" s="20">
        <v>9.1</v>
      </c>
      <c r="F165" s="23">
        <v>8</v>
      </c>
      <c r="G165" s="10">
        <f t="shared" si="6"/>
        <v>46265.75</v>
      </c>
      <c r="H165" s="10" t="str">
        <f t="shared" si="8"/>
        <v>2º</v>
      </c>
    </row>
    <row r="166" spans="1:8" s="11" customFormat="1" x14ac:dyDescent="0.35">
      <c r="A166" s="7">
        <v>165</v>
      </c>
      <c r="B166" s="7" t="s">
        <v>165</v>
      </c>
      <c r="C166" s="9" t="s">
        <v>187</v>
      </c>
      <c r="D166" s="9" t="s">
        <v>183</v>
      </c>
      <c r="E166" s="20">
        <v>1.4</v>
      </c>
      <c r="F166" s="23">
        <v>1</v>
      </c>
      <c r="G166" s="10">
        <f t="shared" si="6"/>
        <v>46265.75</v>
      </c>
      <c r="H166" s="10" t="str">
        <f t="shared" si="8"/>
        <v>2º</v>
      </c>
    </row>
    <row r="167" spans="1:8" s="11" customFormat="1" x14ac:dyDescent="0.35">
      <c r="A167" s="7">
        <v>166</v>
      </c>
      <c r="B167" s="7" t="s">
        <v>166</v>
      </c>
      <c r="C167" s="9" t="s">
        <v>203</v>
      </c>
      <c r="D167" s="9" t="s">
        <v>190</v>
      </c>
      <c r="E167" s="20">
        <v>0.9</v>
      </c>
      <c r="F167" s="23">
        <v>1</v>
      </c>
      <c r="G167" s="10">
        <f t="shared" si="6"/>
        <v>46280.75</v>
      </c>
      <c r="H167" s="10" t="str">
        <f t="shared" si="8"/>
        <v>3º</v>
      </c>
    </row>
    <row r="168" spans="1:8" s="11" customFormat="1" x14ac:dyDescent="0.35">
      <c r="A168" s="7">
        <v>167</v>
      </c>
      <c r="B168" s="7" t="s">
        <v>167</v>
      </c>
      <c r="C168" s="9" t="s">
        <v>201</v>
      </c>
      <c r="D168" s="9" t="s">
        <v>195</v>
      </c>
      <c r="E168" s="20">
        <v>61.019099999999995</v>
      </c>
      <c r="F168" s="23">
        <v>23</v>
      </c>
      <c r="G168" s="10">
        <f t="shared" si="6"/>
        <v>46287.75</v>
      </c>
      <c r="H168" s="10" t="str">
        <f t="shared" si="8"/>
        <v>4º</v>
      </c>
    </row>
    <row r="169" spans="1:8" s="11" customFormat="1" x14ac:dyDescent="0.35">
      <c r="A169" s="7">
        <v>168</v>
      </c>
      <c r="B169" s="7" t="s">
        <v>168</v>
      </c>
      <c r="C169" s="9" t="s">
        <v>203</v>
      </c>
      <c r="D169" s="9" t="s">
        <v>190</v>
      </c>
      <c r="E169" s="20">
        <v>24.256800000000002</v>
      </c>
      <c r="F169" s="23">
        <v>7</v>
      </c>
      <c r="G169" s="10">
        <f t="shared" si="6"/>
        <v>46280.75</v>
      </c>
      <c r="H169" s="10" t="str">
        <f t="shared" si="8"/>
        <v>3º</v>
      </c>
    </row>
    <row r="170" spans="1:8" s="11" customFormat="1" x14ac:dyDescent="0.35">
      <c r="A170" s="7">
        <v>169</v>
      </c>
      <c r="B170" s="7" t="s">
        <v>169</v>
      </c>
      <c r="C170" s="9" t="s">
        <v>203</v>
      </c>
      <c r="D170" s="9" t="s">
        <v>190</v>
      </c>
      <c r="E170" s="20">
        <v>2.4359999999999999</v>
      </c>
      <c r="F170" s="23">
        <v>2</v>
      </c>
      <c r="G170" s="10">
        <f t="shared" si="6"/>
        <v>46280.75</v>
      </c>
      <c r="H170" s="10" t="str">
        <f t="shared" si="8"/>
        <v>3º</v>
      </c>
    </row>
    <row r="171" spans="1:8" s="11" customFormat="1" x14ac:dyDescent="0.35">
      <c r="A171" s="7">
        <v>170</v>
      </c>
      <c r="B171" s="7" t="s">
        <v>170</v>
      </c>
      <c r="C171" s="9" t="s">
        <v>207</v>
      </c>
      <c r="D171" s="9" t="s">
        <v>190</v>
      </c>
      <c r="E171" s="20">
        <v>5.1516000000000002</v>
      </c>
      <c r="F171" s="23">
        <v>1</v>
      </c>
      <c r="G171" s="10">
        <f t="shared" si="6"/>
        <v>46280.75</v>
      </c>
      <c r="H171" s="10" t="str">
        <f t="shared" si="8"/>
        <v>3º</v>
      </c>
    </row>
    <row r="172" spans="1:8" s="11" customFormat="1" ht="15" customHeight="1" x14ac:dyDescent="0.35">
      <c r="A172" s="7">
        <v>171</v>
      </c>
      <c r="B172" s="7" t="s">
        <v>171</v>
      </c>
      <c r="C172" s="9" t="s">
        <v>207</v>
      </c>
      <c r="D172" s="9" t="s">
        <v>190</v>
      </c>
      <c r="E172" s="20">
        <v>112.1324</v>
      </c>
      <c r="F172" s="23">
        <v>14</v>
      </c>
      <c r="G172" s="10">
        <f t="shared" si="6"/>
        <v>46280.75</v>
      </c>
      <c r="H172" s="10" t="str">
        <f t="shared" si="8"/>
        <v>3º</v>
      </c>
    </row>
    <row r="173" spans="1:8" s="11" customFormat="1" x14ac:dyDescent="0.35">
      <c r="A173" s="7">
        <v>172</v>
      </c>
      <c r="B173" s="7" t="s">
        <v>172</v>
      </c>
      <c r="C173" s="9" t="s">
        <v>207</v>
      </c>
      <c r="D173" s="9" t="s">
        <v>190</v>
      </c>
      <c r="E173" s="20">
        <v>38.058000000000007</v>
      </c>
      <c r="F173" s="23">
        <v>11</v>
      </c>
      <c r="G173" s="10">
        <f t="shared" si="6"/>
        <v>46280.75</v>
      </c>
      <c r="H173" s="10" t="str">
        <f t="shared" si="8"/>
        <v>3º</v>
      </c>
    </row>
    <row r="174" spans="1:8" s="11" customFormat="1" x14ac:dyDescent="0.35">
      <c r="A174" s="7">
        <v>173</v>
      </c>
      <c r="B174" s="7" t="s">
        <v>173</v>
      </c>
      <c r="C174" s="9" t="s">
        <v>207</v>
      </c>
      <c r="D174" s="9" t="s">
        <v>190</v>
      </c>
      <c r="E174" s="20">
        <v>2.7</v>
      </c>
      <c r="F174" s="23">
        <v>1</v>
      </c>
      <c r="G174" s="10">
        <f t="shared" si="6"/>
        <v>46280.75</v>
      </c>
      <c r="H174" s="10" t="str">
        <f t="shared" si="8"/>
        <v>3º</v>
      </c>
    </row>
    <row r="175" spans="1:8" s="11" customFormat="1" x14ac:dyDescent="0.35">
      <c r="A175" s="7">
        <v>174</v>
      </c>
      <c r="B175" s="7" t="s">
        <v>174</v>
      </c>
      <c r="C175" s="9" t="s">
        <v>215</v>
      </c>
      <c r="D175" s="9" t="s">
        <v>190</v>
      </c>
      <c r="E175" s="20">
        <v>19.926000000000002</v>
      </c>
      <c r="F175" s="23">
        <v>8</v>
      </c>
      <c r="G175" s="10">
        <f t="shared" si="6"/>
        <v>46280.75</v>
      </c>
      <c r="H175" s="10" t="str">
        <f t="shared" si="8"/>
        <v>3º</v>
      </c>
    </row>
    <row r="176" spans="1:8" s="11" customFormat="1" x14ac:dyDescent="0.35">
      <c r="A176" s="7">
        <v>175</v>
      </c>
      <c r="B176" s="7" t="s">
        <v>175</v>
      </c>
      <c r="C176" s="9" t="s">
        <v>210</v>
      </c>
      <c r="D176" s="9" t="s">
        <v>190</v>
      </c>
      <c r="E176" s="20">
        <v>49.468800000000009</v>
      </c>
      <c r="F176" s="23">
        <v>5</v>
      </c>
      <c r="G176" s="10">
        <f t="shared" si="6"/>
        <v>46280.75</v>
      </c>
      <c r="H176" s="10" t="str">
        <f t="shared" si="8"/>
        <v>3º</v>
      </c>
    </row>
    <row r="177" spans="1:9" s="11" customFormat="1" x14ac:dyDescent="0.35">
      <c r="A177" s="7">
        <v>176</v>
      </c>
      <c r="B177" s="7" t="s">
        <v>176</v>
      </c>
      <c r="C177" s="9" t="s">
        <v>192</v>
      </c>
      <c r="D177" s="9" t="s">
        <v>183</v>
      </c>
      <c r="E177" s="20">
        <v>8</v>
      </c>
      <c r="F177" s="23">
        <v>5</v>
      </c>
      <c r="G177" s="10">
        <f t="shared" si="6"/>
        <v>46265.75</v>
      </c>
      <c r="H177" s="10" t="str">
        <f t="shared" si="8"/>
        <v>2º</v>
      </c>
    </row>
    <row r="178" spans="1:9" s="11" customFormat="1" x14ac:dyDescent="0.35">
      <c r="A178" s="7">
        <v>177</v>
      </c>
      <c r="B178" s="7" t="s">
        <v>177</v>
      </c>
      <c r="C178" s="9" t="s">
        <v>206</v>
      </c>
      <c r="D178" s="9" t="s">
        <v>185</v>
      </c>
      <c r="E178" s="20">
        <v>191.82881999999998</v>
      </c>
      <c r="F178" s="23">
        <v>12</v>
      </c>
      <c r="G178" s="10">
        <f t="shared" si="6"/>
        <v>46280.75</v>
      </c>
      <c r="H178" s="10" t="str">
        <f t="shared" si="8"/>
        <v>3º</v>
      </c>
    </row>
    <row r="179" spans="1:9" s="11" customFormat="1" x14ac:dyDescent="0.35">
      <c r="A179" s="7">
        <v>178</v>
      </c>
      <c r="B179" s="7" t="s">
        <v>178</v>
      </c>
      <c r="C179" s="9" t="s">
        <v>206</v>
      </c>
      <c r="D179" s="9" t="s">
        <v>185</v>
      </c>
      <c r="E179" s="20">
        <v>231.89411999999999</v>
      </c>
      <c r="F179" s="23">
        <v>13</v>
      </c>
      <c r="G179" s="10">
        <f>VLOOKUP(C179,$C$188:$E$224,3,FALSE)</f>
        <v>46280.75</v>
      </c>
      <c r="H179" s="10" t="str">
        <f t="shared" si="8"/>
        <v>3º</v>
      </c>
    </row>
    <row r="180" spans="1:9" x14ac:dyDescent="0.35">
      <c r="C180" s="6"/>
    </row>
    <row r="181" spans="1:9" x14ac:dyDescent="0.35">
      <c r="C181" s="6"/>
    </row>
    <row r="182" spans="1:9" x14ac:dyDescent="0.35">
      <c r="C182" s="6"/>
    </row>
    <row r="183" spans="1:9" x14ac:dyDescent="0.35">
      <c r="C183" s="6"/>
    </row>
    <row r="184" spans="1:9" x14ac:dyDescent="0.35">
      <c r="C184" s="6"/>
      <c r="G184" s="12"/>
    </row>
    <row r="185" spans="1:9" x14ac:dyDescent="0.35">
      <c r="C185" s="6"/>
      <c r="G185" s="12"/>
    </row>
    <row r="186" spans="1:9" x14ac:dyDescent="0.35">
      <c r="C186" s="6"/>
      <c r="G186" s="12"/>
    </row>
    <row r="187" spans="1:9" x14ac:dyDescent="0.35">
      <c r="C187" s="6"/>
      <c r="G187" s="12"/>
    </row>
    <row r="188" spans="1:9" ht="37" customHeight="1" thickBot="1" x14ac:dyDescent="0.4">
      <c r="C188" s="13" t="s">
        <v>213</v>
      </c>
      <c r="D188" s="14" t="s">
        <v>226</v>
      </c>
      <c r="E188" s="27" t="s">
        <v>227</v>
      </c>
      <c r="F188" s="88"/>
      <c r="G188" s="12"/>
    </row>
    <row r="189" spans="1:9" x14ac:dyDescent="0.35">
      <c r="C189" s="15" t="s">
        <v>185</v>
      </c>
      <c r="D189" s="16"/>
      <c r="E189" s="16"/>
      <c r="F189" s="88"/>
      <c r="G189" s="28" t="s">
        <v>231</v>
      </c>
      <c r="H189" s="29" t="s">
        <v>218</v>
      </c>
    </row>
    <row r="190" spans="1:9" x14ac:dyDescent="0.35">
      <c r="C190" s="17" t="s">
        <v>184</v>
      </c>
      <c r="D190" s="18">
        <v>46288</v>
      </c>
      <c r="E190" s="18">
        <f>G192</f>
        <v>46280.75</v>
      </c>
      <c r="F190" s="88"/>
      <c r="G190" s="30">
        <f>Cronograma!D6</f>
        <v>46251.75</v>
      </c>
      <c r="H190" s="31" t="s">
        <v>223</v>
      </c>
      <c r="I190" s="11"/>
    </row>
    <row r="191" spans="1:9" x14ac:dyDescent="0.35">
      <c r="C191" s="17" t="s">
        <v>206</v>
      </c>
      <c r="D191" s="18">
        <v>46281</v>
      </c>
      <c r="E191" s="18">
        <f>E190</f>
        <v>46280.75</v>
      </c>
      <c r="F191" s="88"/>
      <c r="G191" s="30">
        <f>Cronograma!D10</f>
        <v>46265.75</v>
      </c>
      <c r="H191" s="31" t="s">
        <v>228</v>
      </c>
      <c r="I191" s="11"/>
    </row>
    <row r="192" spans="1:9" x14ac:dyDescent="0.35">
      <c r="C192" s="17" t="s">
        <v>191</v>
      </c>
      <c r="D192" s="18">
        <v>46297</v>
      </c>
      <c r="E192" s="18">
        <f>E191</f>
        <v>46280.75</v>
      </c>
      <c r="F192" s="88"/>
      <c r="G192" s="30">
        <f>Cronograma!D14</f>
        <v>46280.75</v>
      </c>
      <c r="H192" s="31" t="s">
        <v>229</v>
      </c>
      <c r="I192" s="11"/>
    </row>
    <row r="193" spans="3:9" ht="13.5" thickBot="1" x14ac:dyDescent="0.4">
      <c r="C193" s="17" t="s">
        <v>209</v>
      </c>
      <c r="D193" s="18">
        <v>46322</v>
      </c>
      <c r="E193" s="18">
        <f>E192</f>
        <v>46280.75</v>
      </c>
      <c r="F193" s="88"/>
      <c r="G193" s="32">
        <f>Cronograma!D18</f>
        <v>46287.75</v>
      </c>
      <c r="H193" s="33" t="s">
        <v>230</v>
      </c>
      <c r="I193" s="11"/>
    </row>
    <row r="194" spans="3:9" x14ac:dyDescent="0.35">
      <c r="C194" s="17" t="s">
        <v>214</v>
      </c>
      <c r="D194" s="18">
        <v>46308</v>
      </c>
      <c r="E194" s="18">
        <f>E193</f>
        <v>46280.75</v>
      </c>
      <c r="F194" s="88"/>
    </row>
    <row r="195" spans="3:9" x14ac:dyDescent="0.35">
      <c r="C195" s="15" t="s">
        <v>190</v>
      </c>
      <c r="D195" s="16"/>
      <c r="E195" s="16"/>
      <c r="F195" s="88"/>
    </row>
    <row r="196" spans="3:9" x14ac:dyDescent="0.35">
      <c r="C196" s="17" t="s">
        <v>203</v>
      </c>
      <c r="D196" s="18">
        <v>46246</v>
      </c>
      <c r="E196" s="18">
        <f>G192</f>
        <v>46280.75</v>
      </c>
      <c r="F196" s="88"/>
    </row>
    <row r="197" spans="3:9" x14ac:dyDescent="0.35">
      <c r="C197" s="17" t="s">
        <v>210</v>
      </c>
      <c r="D197" s="18">
        <v>46261</v>
      </c>
      <c r="E197" s="18">
        <f>E196</f>
        <v>46280.75</v>
      </c>
      <c r="F197" s="88"/>
    </row>
    <row r="198" spans="3:9" x14ac:dyDescent="0.35">
      <c r="C198" s="17" t="s">
        <v>207</v>
      </c>
      <c r="D198" s="18">
        <v>46290</v>
      </c>
      <c r="E198" s="18">
        <f>E197</f>
        <v>46280.75</v>
      </c>
      <c r="F198" s="88"/>
    </row>
    <row r="199" spans="3:9" x14ac:dyDescent="0.35">
      <c r="C199" s="17" t="s">
        <v>215</v>
      </c>
      <c r="D199" s="18">
        <v>46308</v>
      </c>
      <c r="E199" s="18">
        <f>E198</f>
        <v>46280.75</v>
      </c>
      <c r="F199" s="88"/>
    </row>
    <row r="200" spans="3:9" x14ac:dyDescent="0.35">
      <c r="C200" s="17" t="s">
        <v>189</v>
      </c>
      <c r="D200" s="18">
        <v>46283</v>
      </c>
      <c r="E200" s="18">
        <f>E199</f>
        <v>46280.75</v>
      </c>
      <c r="F200" s="88"/>
    </row>
    <row r="201" spans="3:9" x14ac:dyDescent="0.35">
      <c r="C201" s="15" t="s">
        <v>183</v>
      </c>
      <c r="D201" s="16"/>
      <c r="E201" s="16"/>
      <c r="F201" s="88"/>
    </row>
    <row r="202" spans="3:9" x14ac:dyDescent="0.35">
      <c r="C202" s="17" t="s">
        <v>187</v>
      </c>
      <c r="D202" s="18">
        <v>46279</v>
      </c>
      <c r="E202" s="18">
        <f>G191</f>
        <v>46265.75</v>
      </c>
      <c r="F202" s="88"/>
    </row>
    <row r="203" spans="3:9" x14ac:dyDescent="0.35">
      <c r="C203" s="17" t="s">
        <v>192</v>
      </c>
      <c r="D203" s="18">
        <v>46283</v>
      </c>
      <c r="E203" s="18">
        <f>E202</f>
        <v>46265.75</v>
      </c>
      <c r="F203" s="88"/>
    </row>
    <row r="204" spans="3:9" x14ac:dyDescent="0.35">
      <c r="C204" s="17" t="s">
        <v>193</v>
      </c>
      <c r="D204" s="18">
        <v>46295</v>
      </c>
      <c r="E204" s="18">
        <f>E203</f>
        <v>46265.75</v>
      </c>
      <c r="F204" s="88"/>
    </row>
    <row r="205" spans="3:9" x14ac:dyDescent="0.35">
      <c r="C205" s="17" t="s">
        <v>208</v>
      </c>
      <c r="D205" s="18">
        <v>46279</v>
      </c>
      <c r="E205" s="18">
        <f>E204</f>
        <v>46265.75</v>
      </c>
      <c r="F205" s="88"/>
    </row>
    <row r="206" spans="3:9" x14ac:dyDescent="0.35">
      <c r="C206" s="17" t="s">
        <v>188</v>
      </c>
      <c r="D206" s="18">
        <v>46286</v>
      </c>
      <c r="E206" s="18">
        <f>G190</f>
        <v>46251.75</v>
      </c>
      <c r="F206" s="88"/>
    </row>
    <row r="207" spans="3:9" x14ac:dyDescent="0.35">
      <c r="C207" s="17" t="s">
        <v>186</v>
      </c>
      <c r="D207" s="18">
        <v>46280</v>
      </c>
      <c r="E207" s="18">
        <f>E206</f>
        <v>46251.75</v>
      </c>
      <c r="F207" s="88"/>
    </row>
    <row r="208" spans="3:9" x14ac:dyDescent="0.35">
      <c r="C208" s="17" t="s">
        <v>182</v>
      </c>
      <c r="D208" s="18">
        <v>46283</v>
      </c>
      <c r="E208" s="18">
        <f>E207</f>
        <v>46251.75</v>
      </c>
      <c r="F208" s="88"/>
    </row>
    <row r="209" spans="3:6" x14ac:dyDescent="0.35">
      <c r="C209" s="15" t="s">
        <v>195</v>
      </c>
      <c r="D209" s="16"/>
      <c r="E209" s="16"/>
      <c r="F209" s="88"/>
    </row>
    <row r="210" spans="3:6" x14ac:dyDescent="0.35">
      <c r="C210" s="17" t="s">
        <v>201</v>
      </c>
      <c r="D210" s="18">
        <v>46276</v>
      </c>
      <c r="E210" s="18">
        <f>G193</f>
        <v>46287.75</v>
      </c>
      <c r="F210" s="88"/>
    </row>
    <row r="211" spans="3:6" x14ac:dyDescent="0.35">
      <c r="C211" s="17" t="s">
        <v>194</v>
      </c>
      <c r="D211" s="18">
        <v>46287</v>
      </c>
      <c r="E211" s="18">
        <f>E210</f>
        <v>46287.75</v>
      </c>
      <c r="F211" s="88"/>
    </row>
    <row r="212" spans="3:6" x14ac:dyDescent="0.35">
      <c r="C212" s="17" t="s">
        <v>196</v>
      </c>
      <c r="D212" s="18">
        <v>46289</v>
      </c>
      <c r="E212" s="18">
        <f>E211</f>
        <v>46287.75</v>
      </c>
      <c r="F212" s="88"/>
    </row>
    <row r="213" spans="3:6" x14ac:dyDescent="0.35">
      <c r="C213" s="17" t="s">
        <v>197</v>
      </c>
      <c r="D213" s="18">
        <v>46293</v>
      </c>
      <c r="E213" s="18">
        <f t="shared" ref="E213:E220" si="9">E212</f>
        <v>46287.75</v>
      </c>
      <c r="F213" s="88"/>
    </row>
    <row r="214" spans="3:6" x14ac:dyDescent="0.35">
      <c r="C214" s="17" t="s">
        <v>198</v>
      </c>
      <c r="D214" s="18">
        <v>46304</v>
      </c>
      <c r="E214" s="18">
        <f t="shared" si="9"/>
        <v>46287.75</v>
      </c>
      <c r="F214" s="88"/>
    </row>
    <row r="215" spans="3:6" x14ac:dyDescent="0.35">
      <c r="C215" s="17" t="s">
        <v>199</v>
      </c>
      <c r="D215" s="18">
        <v>46304</v>
      </c>
      <c r="E215" s="18">
        <f t="shared" si="9"/>
        <v>46287.75</v>
      </c>
      <c r="F215" s="88"/>
    </row>
    <row r="216" spans="3:6" x14ac:dyDescent="0.35">
      <c r="C216" s="17" t="s">
        <v>200</v>
      </c>
      <c r="D216" s="18">
        <v>46304</v>
      </c>
      <c r="E216" s="18">
        <f t="shared" si="9"/>
        <v>46287.75</v>
      </c>
      <c r="F216" s="88"/>
    </row>
    <row r="217" spans="3:6" x14ac:dyDescent="0.35">
      <c r="C217" s="17" t="s">
        <v>204</v>
      </c>
      <c r="D217" s="18">
        <v>46308</v>
      </c>
      <c r="E217" s="18">
        <f t="shared" si="9"/>
        <v>46287.75</v>
      </c>
      <c r="F217" s="88"/>
    </row>
    <row r="218" spans="3:6" x14ac:dyDescent="0.35">
      <c r="C218" s="17" t="s">
        <v>205</v>
      </c>
      <c r="D218" s="18">
        <v>46308</v>
      </c>
      <c r="E218" s="18">
        <f t="shared" si="9"/>
        <v>46287.75</v>
      </c>
      <c r="F218" s="88"/>
    </row>
    <row r="219" spans="3:6" x14ac:dyDescent="0.35">
      <c r="C219" s="17" t="s">
        <v>216</v>
      </c>
      <c r="D219" s="18">
        <v>46308</v>
      </c>
      <c r="E219" s="18">
        <f t="shared" si="9"/>
        <v>46287.75</v>
      </c>
      <c r="F219" s="88"/>
    </row>
    <row r="220" spans="3:6" x14ac:dyDescent="0.35">
      <c r="C220" s="17" t="s">
        <v>217</v>
      </c>
      <c r="D220" s="18">
        <v>46308</v>
      </c>
      <c r="E220" s="18">
        <f t="shared" si="9"/>
        <v>46287.75</v>
      </c>
      <c r="F220" s="88"/>
    </row>
    <row r="221" spans="3:6" x14ac:dyDescent="0.35">
      <c r="C221" s="15" t="s">
        <v>212</v>
      </c>
      <c r="D221" s="16"/>
      <c r="E221" s="16"/>
      <c r="F221" s="88"/>
    </row>
    <row r="222" spans="3:6" x14ac:dyDescent="0.35">
      <c r="C222" s="17" t="s">
        <v>211</v>
      </c>
      <c r="D222" s="18">
        <v>46237</v>
      </c>
      <c r="E222" s="18">
        <f>G193</f>
        <v>46287.75</v>
      </c>
      <c r="F222" s="88"/>
    </row>
    <row r="223" spans="3:6" x14ac:dyDescent="0.35">
      <c r="C223" s="15" t="s">
        <v>202</v>
      </c>
      <c r="D223" s="16"/>
      <c r="E223" s="16"/>
      <c r="F223" s="88"/>
    </row>
    <row r="224" spans="3:6" x14ac:dyDescent="0.35">
      <c r="C224" s="17" t="s">
        <v>180</v>
      </c>
      <c r="D224" s="18">
        <v>46266</v>
      </c>
      <c r="E224" s="18">
        <f>E222</f>
        <v>46287.75</v>
      </c>
      <c r="F224" s="88"/>
    </row>
    <row r="225" spans="3:3" x14ac:dyDescent="0.35">
      <c r="C225" s="6"/>
    </row>
    <row r="226" spans="3:3" x14ac:dyDescent="0.35">
      <c r="C226" s="6"/>
    </row>
  </sheetData>
  <autoFilter ref="A1:H179" xr:uid="{2CEF438D-C46F-479D-971A-08D8F1E2445B}"/>
  <phoneticPr fontId="4" type="noConversion"/>
  <conditionalFormatting sqref="B1:B1048576 C180:G183 B225:G226 D226:G1048576 C184:F187 E225:G236 F194:G224 F188:F224">
    <cfRule type="duplicateValues" dxfId="8" priority="3"/>
  </conditionalFormatting>
  <conditionalFormatting sqref="B1:B1048576">
    <cfRule type="duplicateValues" dxfId="7" priority="2"/>
  </conditionalFormatting>
  <conditionalFormatting sqref="F190:F224">
    <cfRule type="cellIs" dxfId="6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B8AB-DDA7-4BC2-900F-59C83F6BE4EC}">
  <dimension ref="A1:G189"/>
  <sheetViews>
    <sheetView zoomScale="130" zoomScaleNormal="130" workbookViewId="0">
      <selection activeCell="C13" sqref="C13"/>
    </sheetView>
  </sheetViews>
  <sheetFormatPr defaultRowHeight="14.5" x14ac:dyDescent="0.35"/>
  <cols>
    <col min="1" max="1" width="11.1796875" style="1" bestFit="1" customWidth="1"/>
    <col min="2" max="2" width="23.81640625" style="1" bestFit="1" customWidth="1"/>
    <col min="3" max="3" width="26.36328125" style="1" bestFit="1" customWidth="1"/>
    <col min="4" max="4" width="10.08984375" style="1" bestFit="1" customWidth="1"/>
    <col min="5" max="5" width="7.36328125" style="1" bestFit="1" customWidth="1"/>
    <col min="6" max="7" width="10.54296875" style="1" bestFit="1" customWidth="1"/>
  </cols>
  <sheetData>
    <row r="1" spans="1:7" x14ac:dyDescent="0.35">
      <c r="A1" s="98" t="s">
        <v>508</v>
      </c>
      <c r="B1" s="98"/>
      <c r="C1" s="98"/>
      <c r="D1" s="98"/>
      <c r="E1" s="98"/>
      <c r="F1" s="98"/>
      <c r="G1" s="98"/>
    </row>
    <row r="2" spans="1:7" x14ac:dyDescent="0.35">
      <c r="A2" s="99" t="s">
        <v>311</v>
      </c>
      <c r="B2" s="99" t="s">
        <v>312</v>
      </c>
      <c r="C2" s="99" t="s">
        <v>267</v>
      </c>
      <c r="D2" s="99" t="s">
        <v>313</v>
      </c>
      <c r="E2" s="99" t="s">
        <v>268</v>
      </c>
      <c r="F2" s="100" t="s">
        <v>234</v>
      </c>
      <c r="G2" s="100" t="s">
        <v>235</v>
      </c>
    </row>
    <row r="3" spans="1:7" x14ac:dyDescent="0.35">
      <c r="A3" s="101">
        <v>1</v>
      </c>
      <c r="B3" s="101" t="s">
        <v>314</v>
      </c>
      <c r="C3" s="101" t="s">
        <v>315</v>
      </c>
      <c r="D3" s="102">
        <v>0.44</v>
      </c>
      <c r="E3" s="101" t="s">
        <v>316</v>
      </c>
      <c r="F3" s="103">
        <v>46241.291666666664</v>
      </c>
      <c r="G3" s="103">
        <v>46287.375</v>
      </c>
    </row>
    <row r="4" spans="1:7" x14ac:dyDescent="0.35">
      <c r="A4" s="101" t="s">
        <v>317</v>
      </c>
      <c r="B4" s="101" t="s">
        <v>314</v>
      </c>
      <c r="C4" s="101" t="s">
        <v>509</v>
      </c>
      <c r="D4" s="102">
        <v>0.44</v>
      </c>
      <c r="E4" s="101" t="s">
        <v>282</v>
      </c>
      <c r="F4" s="103">
        <v>46241.291666666664</v>
      </c>
      <c r="G4" s="103">
        <v>46245.458333333336</v>
      </c>
    </row>
    <row r="5" spans="1:7" x14ac:dyDescent="0.35">
      <c r="A5" s="101" t="s">
        <v>318</v>
      </c>
      <c r="B5" s="101" t="s">
        <v>319</v>
      </c>
      <c r="C5" s="101" t="s">
        <v>510</v>
      </c>
      <c r="D5" s="102">
        <v>1</v>
      </c>
      <c r="E5" s="101" t="s">
        <v>288</v>
      </c>
      <c r="F5" s="103">
        <v>46241.291666666664</v>
      </c>
      <c r="G5" s="103">
        <v>46241.666666666664</v>
      </c>
    </row>
    <row r="6" spans="1:7" x14ac:dyDescent="0.35">
      <c r="A6" s="101" t="s">
        <v>320</v>
      </c>
      <c r="B6" s="101" t="s">
        <v>319</v>
      </c>
      <c r="C6" s="101" t="s">
        <v>511</v>
      </c>
      <c r="D6" s="102">
        <v>0</v>
      </c>
      <c r="E6" s="101" t="s">
        <v>321</v>
      </c>
      <c r="F6" s="103">
        <v>46241.291666666664</v>
      </c>
      <c r="G6" s="103">
        <v>46245.458333333336</v>
      </c>
    </row>
    <row r="7" spans="1:7" x14ac:dyDescent="0.35">
      <c r="A7" s="101" t="s">
        <v>322</v>
      </c>
      <c r="B7" s="101" t="s">
        <v>314</v>
      </c>
      <c r="C7" s="104" t="s">
        <v>512</v>
      </c>
      <c r="D7" s="102">
        <v>0</v>
      </c>
      <c r="E7" s="101" t="s">
        <v>323</v>
      </c>
      <c r="F7" s="103">
        <v>46248.291666666664</v>
      </c>
      <c r="G7" s="103">
        <v>46287.708333333336</v>
      </c>
    </row>
    <row r="8" spans="1:7" x14ac:dyDescent="0.35">
      <c r="A8" s="101" t="s">
        <v>324</v>
      </c>
      <c r="B8" s="101" t="s">
        <v>314</v>
      </c>
      <c r="C8" s="105" t="s">
        <v>513</v>
      </c>
      <c r="D8" s="102">
        <v>0</v>
      </c>
      <c r="E8" s="101" t="s">
        <v>325</v>
      </c>
      <c r="F8" s="103">
        <v>46248.291666666664</v>
      </c>
      <c r="G8" s="103">
        <v>46257.625</v>
      </c>
    </row>
    <row r="9" spans="1:7" x14ac:dyDescent="0.35">
      <c r="A9" s="101" t="s">
        <v>326</v>
      </c>
      <c r="B9" s="101" t="s">
        <v>314</v>
      </c>
      <c r="C9" s="106" t="s">
        <v>1</v>
      </c>
      <c r="D9" s="102">
        <v>1</v>
      </c>
      <c r="E9" s="101" t="s">
        <v>327</v>
      </c>
      <c r="F9" s="103">
        <v>46245.458333333336</v>
      </c>
      <c r="G9" s="103">
        <v>46247.375</v>
      </c>
    </row>
    <row r="10" spans="1:7" x14ac:dyDescent="0.35">
      <c r="A10" s="101">
        <v>2</v>
      </c>
      <c r="B10" s="101" t="s">
        <v>314</v>
      </c>
      <c r="C10" s="107" t="s">
        <v>3</v>
      </c>
      <c r="D10" s="102">
        <v>0.6</v>
      </c>
      <c r="E10" s="101" t="s">
        <v>288</v>
      </c>
      <c r="F10" s="103">
        <v>46246.666666666664</v>
      </c>
      <c r="G10" s="103">
        <v>46247.625</v>
      </c>
    </row>
    <row r="11" spans="1:7" x14ac:dyDescent="0.35">
      <c r="A11" s="101" t="s">
        <v>328</v>
      </c>
      <c r="B11" s="101" t="s">
        <v>314</v>
      </c>
      <c r="C11" s="108" t="s">
        <v>4</v>
      </c>
      <c r="D11" s="102">
        <v>0.57999999999999996</v>
      </c>
      <c r="E11" s="101" t="s">
        <v>288</v>
      </c>
      <c r="F11" s="103">
        <v>46249.625</v>
      </c>
      <c r="G11" s="103">
        <v>46250.583333333336</v>
      </c>
    </row>
    <row r="12" spans="1:7" x14ac:dyDescent="0.35">
      <c r="A12" s="101" t="s">
        <v>329</v>
      </c>
      <c r="B12" s="101" t="s">
        <v>319</v>
      </c>
      <c r="C12" s="108" t="s">
        <v>5</v>
      </c>
      <c r="D12" s="102">
        <v>1</v>
      </c>
      <c r="E12" s="101" t="s">
        <v>288</v>
      </c>
      <c r="F12" s="103">
        <v>46249.625</v>
      </c>
      <c r="G12" s="103">
        <v>46250.583333333336</v>
      </c>
    </row>
    <row r="13" spans="1:7" x14ac:dyDescent="0.35">
      <c r="A13" s="101" t="s">
        <v>330</v>
      </c>
      <c r="B13" s="101" t="s">
        <v>319</v>
      </c>
      <c r="C13" s="108" t="s">
        <v>6</v>
      </c>
      <c r="D13" s="102">
        <v>1</v>
      </c>
      <c r="E13" s="101" t="s">
        <v>288</v>
      </c>
      <c r="F13" s="103">
        <v>46249.625</v>
      </c>
      <c r="G13" s="103">
        <v>46250.583333333336</v>
      </c>
    </row>
    <row r="14" spans="1:7" x14ac:dyDescent="0.35">
      <c r="A14" s="101" t="s">
        <v>331</v>
      </c>
      <c r="B14" s="101" t="s">
        <v>319</v>
      </c>
      <c r="C14" s="108" t="s">
        <v>7</v>
      </c>
      <c r="D14" s="102">
        <v>1</v>
      </c>
      <c r="E14" s="101" t="s">
        <v>288</v>
      </c>
      <c r="F14" s="103">
        <v>46249.625</v>
      </c>
      <c r="G14" s="103">
        <v>46250.583333333336</v>
      </c>
    </row>
    <row r="15" spans="1:7" x14ac:dyDescent="0.35">
      <c r="A15" s="101" t="s">
        <v>332</v>
      </c>
      <c r="B15" s="101" t="s">
        <v>319</v>
      </c>
      <c r="C15" s="108" t="s">
        <v>9</v>
      </c>
      <c r="D15" s="102">
        <v>1</v>
      </c>
      <c r="E15" s="101" t="s">
        <v>288</v>
      </c>
      <c r="F15" s="103">
        <v>46249.625</v>
      </c>
      <c r="G15" s="103">
        <v>46250.583333333336</v>
      </c>
    </row>
    <row r="16" spans="1:7" x14ac:dyDescent="0.35">
      <c r="A16" s="101" t="s">
        <v>333</v>
      </c>
      <c r="B16" s="101" t="s">
        <v>319</v>
      </c>
      <c r="C16" s="108" t="s">
        <v>13</v>
      </c>
      <c r="D16" s="102">
        <v>1</v>
      </c>
      <c r="E16" s="101" t="s">
        <v>288</v>
      </c>
      <c r="F16" s="103">
        <v>46249.625</v>
      </c>
      <c r="G16" s="103">
        <v>46250.583333333336</v>
      </c>
    </row>
    <row r="17" spans="1:7" x14ac:dyDescent="0.35">
      <c r="A17" s="101" t="s">
        <v>334</v>
      </c>
      <c r="B17" s="101" t="s">
        <v>319</v>
      </c>
      <c r="C17" s="108" t="s">
        <v>14</v>
      </c>
      <c r="D17" s="102">
        <v>1</v>
      </c>
      <c r="E17" s="101" t="s">
        <v>288</v>
      </c>
      <c r="F17" s="103">
        <v>46249.625</v>
      </c>
      <c r="G17" s="103">
        <v>46250.583333333336</v>
      </c>
    </row>
    <row r="18" spans="1:7" x14ac:dyDescent="0.35">
      <c r="A18" s="101" t="s">
        <v>335</v>
      </c>
      <c r="B18" s="101" t="s">
        <v>319</v>
      </c>
      <c r="C18" s="108" t="s">
        <v>15</v>
      </c>
      <c r="D18" s="102">
        <v>1</v>
      </c>
      <c r="E18" s="101" t="s">
        <v>288</v>
      </c>
      <c r="F18" s="103">
        <v>46249.625</v>
      </c>
      <c r="G18" s="103">
        <v>46250.583333333336</v>
      </c>
    </row>
    <row r="19" spans="1:7" x14ac:dyDescent="0.35">
      <c r="A19" s="101" t="s">
        <v>336</v>
      </c>
      <c r="B19" s="101" t="s">
        <v>319</v>
      </c>
      <c r="C19" s="108" t="s">
        <v>16</v>
      </c>
      <c r="D19" s="102">
        <v>1</v>
      </c>
      <c r="E19" s="101" t="s">
        <v>288</v>
      </c>
      <c r="F19" s="103">
        <v>46249.625</v>
      </c>
      <c r="G19" s="103">
        <v>46250.583333333336</v>
      </c>
    </row>
    <row r="20" spans="1:7" x14ac:dyDescent="0.35">
      <c r="A20" s="101" t="s">
        <v>337</v>
      </c>
      <c r="B20" s="101" t="s">
        <v>319</v>
      </c>
      <c r="C20" s="108" t="s">
        <v>40</v>
      </c>
      <c r="D20" s="102">
        <v>1</v>
      </c>
      <c r="E20" s="101" t="s">
        <v>288</v>
      </c>
      <c r="F20" s="103">
        <v>46250.583333333336</v>
      </c>
      <c r="G20" s="103">
        <v>46251.5</v>
      </c>
    </row>
    <row r="21" spans="1:7" x14ac:dyDescent="0.35">
      <c r="A21" s="101" t="s">
        <v>338</v>
      </c>
      <c r="B21" s="101" t="s">
        <v>319</v>
      </c>
      <c r="C21" s="108" t="s">
        <v>46</v>
      </c>
      <c r="D21" s="102">
        <v>1</v>
      </c>
      <c r="E21" s="101" t="s">
        <v>288</v>
      </c>
      <c r="F21" s="103">
        <v>46250.583333333336</v>
      </c>
      <c r="G21" s="103">
        <v>46251.5</v>
      </c>
    </row>
    <row r="22" spans="1:7" x14ac:dyDescent="0.35">
      <c r="A22" s="101" t="s">
        <v>339</v>
      </c>
      <c r="B22" s="101" t="s">
        <v>319</v>
      </c>
      <c r="C22" s="108" t="s">
        <v>54</v>
      </c>
      <c r="D22" s="102">
        <v>1</v>
      </c>
      <c r="E22" s="101" t="s">
        <v>288</v>
      </c>
      <c r="F22" s="103">
        <v>46250.583333333336</v>
      </c>
      <c r="G22" s="103">
        <v>46251.5</v>
      </c>
    </row>
    <row r="23" spans="1:7" x14ac:dyDescent="0.35">
      <c r="A23" s="101" t="s">
        <v>340</v>
      </c>
      <c r="B23" s="101" t="s">
        <v>319</v>
      </c>
      <c r="C23" s="108" t="s">
        <v>55</v>
      </c>
      <c r="D23" s="102">
        <v>1</v>
      </c>
      <c r="E23" s="101" t="s">
        <v>327</v>
      </c>
      <c r="F23" s="103">
        <v>46250.583333333336</v>
      </c>
      <c r="G23" s="103">
        <v>46252.458333333336</v>
      </c>
    </row>
    <row r="24" spans="1:7" x14ac:dyDescent="0.35">
      <c r="A24" s="101" t="s">
        <v>341</v>
      </c>
      <c r="B24" s="101" t="s">
        <v>319</v>
      </c>
      <c r="C24" s="108" t="s">
        <v>56</v>
      </c>
      <c r="D24" s="102">
        <v>0.4</v>
      </c>
      <c r="E24" s="101" t="s">
        <v>327</v>
      </c>
      <c r="F24" s="103">
        <v>46250.583333333336</v>
      </c>
      <c r="G24" s="103">
        <v>46252.458333333336</v>
      </c>
    </row>
    <row r="25" spans="1:7" x14ac:dyDescent="0.35">
      <c r="A25" s="101" t="s">
        <v>342</v>
      </c>
      <c r="B25" s="101" t="s">
        <v>319</v>
      </c>
      <c r="C25" s="108" t="s">
        <v>59</v>
      </c>
      <c r="D25" s="102">
        <v>0.4</v>
      </c>
      <c r="E25" s="101" t="s">
        <v>288</v>
      </c>
      <c r="F25" s="103">
        <v>46250.583333333336</v>
      </c>
      <c r="G25" s="103">
        <v>46251.5</v>
      </c>
    </row>
    <row r="26" spans="1:7" x14ac:dyDescent="0.35">
      <c r="A26" s="101" t="s">
        <v>343</v>
      </c>
      <c r="B26" s="101" t="s">
        <v>319</v>
      </c>
      <c r="C26" s="108" t="s">
        <v>71</v>
      </c>
      <c r="D26" s="102">
        <v>0.4</v>
      </c>
      <c r="E26" s="101" t="s">
        <v>288</v>
      </c>
      <c r="F26" s="103">
        <v>46251.541666666664</v>
      </c>
      <c r="G26" s="103">
        <v>46252.458333333336</v>
      </c>
    </row>
    <row r="27" spans="1:7" x14ac:dyDescent="0.35">
      <c r="A27" s="101" t="s">
        <v>344</v>
      </c>
      <c r="B27" s="101" t="s">
        <v>319</v>
      </c>
      <c r="C27" s="108" t="s">
        <v>72</v>
      </c>
      <c r="D27" s="102">
        <v>0.4</v>
      </c>
      <c r="E27" s="101" t="s">
        <v>327</v>
      </c>
      <c r="F27" s="103">
        <v>46251.541666666664</v>
      </c>
      <c r="G27" s="103">
        <v>46253.416666666664</v>
      </c>
    </row>
    <row r="28" spans="1:7" x14ac:dyDescent="0.35">
      <c r="A28" s="101" t="s">
        <v>345</v>
      </c>
      <c r="B28" s="101" t="s">
        <v>319</v>
      </c>
      <c r="C28" s="108" t="s">
        <v>73</v>
      </c>
      <c r="D28" s="102">
        <v>0.4</v>
      </c>
      <c r="E28" s="101" t="s">
        <v>327</v>
      </c>
      <c r="F28" s="103">
        <v>46251.541666666664</v>
      </c>
      <c r="G28" s="103">
        <v>46253.416666666664</v>
      </c>
    </row>
    <row r="29" spans="1:7" x14ac:dyDescent="0.35">
      <c r="A29" s="101" t="s">
        <v>346</v>
      </c>
      <c r="B29" s="101" t="s">
        <v>319</v>
      </c>
      <c r="C29" s="108" t="s">
        <v>77</v>
      </c>
      <c r="D29" s="102">
        <v>0.4</v>
      </c>
      <c r="E29" s="101" t="s">
        <v>327</v>
      </c>
      <c r="F29" s="103">
        <v>46253.416666666664</v>
      </c>
      <c r="G29" s="103">
        <v>46255.333333333336</v>
      </c>
    </row>
    <row r="30" spans="1:7" x14ac:dyDescent="0.35">
      <c r="A30" s="101" t="s">
        <v>347</v>
      </c>
      <c r="B30" s="101" t="s">
        <v>319</v>
      </c>
      <c r="C30" s="108" t="s">
        <v>80</v>
      </c>
      <c r="D30" s="102">
        <v>0.4</v>
      </c>
      <c r="E30" s="101" t="s">
        <v>327</v>
      </c>
      <c r="F30" s="103">
        <v>46253.416666666664</v>
      </c>
      <c r="G30" s="103">
        <v>46255.333333333336</v>
      </c>
    </row>
    <row r="31" spans="1:7" x14ac:dyDescent="0.35">
      <c r="A31" s="101" t="s">
        <v>348</v>
      </c>
      <c r="B31" s="101" t="s">
        <v>319</v>
      </c>
      <c r="C31" s="108" t="s">
        <v>83</v>
      </c>
      <c r="D31" s="102">
        <v>0.4</v>
      </c>
      <c r="E31" s="101" t="s">
        <v>327</v>
      </c>
      <c r="F31" s="103">
        <v>46254.375</v>
      </c>
      <c r="G31" s="103">
        <v>46255.708333333336</v>
      </c>
    </row>
    <row r="32" spans="1:7" x14ac:dyDescent="0.35">
      <c r="A32" s="101" t="s">
        <v>349</v>
      </c>
      <c r="B32" s="101" t="s">
        <v>319</v>
      </c>
      <c r="C32" s="108" t="s">
        <v>84</v>
      </c>
      <c r="D32" s="102">
        <v>0.4</v>
      </c>
      <c r="E32" s="101" t="s">
        <v>327</v>
      </c>
      <c r="F32" s="103">
        <v>46254.375</v>
      </c>
      <c r="G32" s="103">
        <v>46255.708333333336</v>
      </c>
    </row>
    <row r="33" spans="1:7" x14ac:dyDescent="0.35">
      <c r="A33" s="101" t="s">
        <v>350</v>
      </c>
      <c r="B33" s="101" t="s">
        <v>319</v>
      </c>
      <c r="C33" s="108" t="s">
        <v>85</v>
      </c>
      <c r="D33" s="102">
        <v>0.28999999999999998</v>
      </c>
      <c r="E33" s="101" t="s">
        <v>327</v>
      </c>
      <c r="F33" s="103">
        <v>46254.375</v>
      </c>
      <c r="G33" s="103">
        <v>46255.708333333336</v>
      </c>
    </row>
    <row r="34" spans="1:7" x14ac:dyDescent="0.35">
      <c r="A34" s="101" t="s">
        <v>351</v>
      </c>
      <c r="B34" s="101" t="s">
        <v>319</v>
      </c>
      <c r="C34" s="108" t="s">
        <v>88</v>
      </c>
      <c r="D34" s="102">
        <v>0</v>
      </c>
      <c r="E34" s="101" t="s">
        <v>288</v>
      </c>
      <c r="F34" s="103">
        <v>46254.375</v>
      </c>
      <c r="G34" s="103">
        <v>46255.333333333336</v>
      </c>
    </row>
    <row r="35" spans="1:7" x14ac:dyDescent="0.35">
      <c r="A35" s="101" t="s">
        <v>352</v>
      </c>
      <c r="B35" s="101" t="s">
        <v>319</v>
      </c>
      <c r="C35" s="108" t="s">
        <v>95</v>
      </c>
      <c r="D35" s="102">
        <v>0</v>
      </c>
      <c r="E35" s="101" t="s">
        <v>288</v>
      </c>
      <c r="F35" s="103">
        <v>46255.333333333336</v>
      </c>
      <c r="G35" s="103">
        <v>46255.708333333336</v>
      </c>
    </row>
    <row r="36" spans="1:7" x14ac:dyDescent="0.35">
      <c r="A36" s="101" t="s">
        <v>353</v>
      </c>
      <c r="B36" s="101" t="s">
        <v>319</v>
      </c>
      <c r="C36" s="108" t="s">
        <v>102</v>
      </c>
      <c r="D36" s="102">
        <v>0</v>
      </c>
      <c r="E36" s="101" t="s">
        <v>288</v>
      </c>
      <c r="F36" s="103">
        <v>46256.291666666664</v>
      </c>
      <c r="G36" s="103">
        <v>46256.666666666664</v>
      </c>
    </row>
    <row r="37" spans="1:7" x14ac:dyDescent="0.35">
      <c r="A37" s="101" t="s">
        <v>354</v>
      </c>
      <c r="B37" s="101" t="s">
        <v>319</v>
      </c>
      <c r="C37" s="108" t="s">
        <v>111</v>
      </c>
      <c r="D37" s="102">
        <v>0</v>
      </c>
      <c r="E37" s="101" t="s">
        <v>288</v>
      </c>
      <c r="F37" s="103">
        <v>46256.291666666664</v>
      </c>
      <c r="G37" s="103">
        <v>46256.666666666664</v>
      </c>
    </row>
    <row r="38" spans="1:7" x14ac:dyDescent="0.35">
      <c r="A38" s="101" t="s">
        <v>355</v>
      </c>
      <c r="B38" s="101" t="s">
        <v>319</v>
      </c>
      <c r="C38" s="108" t="s">
        <v>119</v>
      </c>
      <c r="D38" s="102">
        <v>0</v>
      </c>
      <c r="E38" s="101" t="s">
        <v>288</v>
      </c>
      <c r="F38" s="103">
        <v>46256.291666666664</v>
      </c>
      <c r="G38" s="103">
        <v>46256.666666666664</v>
      </c>
    </row>
    <row r="39" spans="1:7" x14ac:dyDescent="0.35">
      <c r="A39" s="101" t="s">
        <v>356</v>
      </c>
      <c r="B39" s="101" t="s">
        <v>319</v>
      </c>
      <c r="C39" s="108" t="s">
        <v>155</v>
      </c>
      <c r="D39" s="102">
        <v>0</v>
      </c>
      <c r="E39" s="101" t="s">
        <v>288</v>
      </c>
      <c r="F39" s="103">
        <v>46256.666666666664</v>
      </c>
      <c r="G39" s="103">
        <v>46257.625</v>
      </c>
    </row>
    <row r="40" spans="1:7" x14ac:dyDescent="0.35">
      <c r="A40" s="101">
        <v>3</v>
      </c>
      <c r="B40" s="101" t="s">
        <v>314</v>
      </c>
      <c r="C40" s="109" t="s">
        <v>357</v>
      </c>
      <c r="D40" s="102">
        <v>0</v>
      </c>
      <c r="E40" s="101" t="s">
        <v>305</v>
      </c>
      <c r="F40" s="103">
        <v>46258.291666666664</v>
      </c>
      <c r="G40" s="103">
        <v>46266.666666666664</v>
      </c>
    </row>
    <row r="41" spans="1:7" x14ac:dyDescent="0.35">
      <c r="A41" s="101" t="s">
        <v>358</v>
      </c>
      <c r="B41" s="101" t="s">
        <v>314</v>
      </c>
      <c r="C41" s="108" t="s">
        <v>8</v>
      </c>
      <c r="D41" s="102">
        <v>0</v>
      </c>
      <c r="E41" s="101" t="s">
        <v>327</v>
      </c>
      <c r="F41" s="103">
        <v>46258.291666666664</v>
      </c>
      <c r="G41" s="103">
        <v>46259.625</v>
      </c>
    </row>
    <row r="42" spans="1:7" x14ac:dyDescent="0.35">
      <c r="A42" s="101">
        <v>4</v>
      </c>
      <c r="B42" s="101" t="s">
        <v>314</v>
      </c>
      <c r="C42" s="108" t="s">
        <v>10</v>
      </c>
      <c r="D42" s="102">
        <v>0</v>
      </c>
      <c r="E42" s="101" t="s">
        <v>327</v>
      </c>
      <c r="F42" s="103">
        <v>46258.291666666664</v>
      </c>
      <c r="G42" s="103">
        <v>46259.625</v>
      </c>
    </row>
    <row r="43" spans="1:7" x14ac:dyDescent="0.35">
      <c r="A43" s="101" t="s">
        <v>359</v>
      </c>
      <c r="B43" s="101" t="s">
        <v>314</v>
      </c>
      <c r="C43" s="108" t="s">
        <v>23</v>
      </c>
      <c r="D43" s="102">
        <v>0</v>
      </c>
      <c r="E43" s="101" t="s">
        <v>327</v>
      </c>
      <c r="F43" s="103">
        <v>46259.291666666664</v>
      </c>
      <c r="G43" s="103">
        <v>46260.625</v>
      </c>
    </row>
    <row r="44" spans="1:7" x14ac:dyDescent="0.35">
      <c r="A44" s="101" t="s">
        <v>360</v>
      </c>
      <c r="B44" s="101" t="s">
        <v>319</v>
      </c>
      <c r="C44" s="108" t="s">
        <v>24</v>
      </c>
      <c r="D44" s="102">
        <v>0</v>
      </c>
      <c r="E44" s="101" t="s">
        <v>288</v>
      </c>
      <c r="F44" s="103">
        <v>46259.666666666664</v>
      </c>
      <c r="G44" s="103">
        <v>46260.625</v>
      </c>
    </row>
    <row r="45" spans="1:7" x14ac:dyDescent="0.35">
      <c r="A45" s="101" t="s">
        <v>361</v>
      </c>
      <c r="B45" s="101" t="s">
        <v>319</v>
      </c>
      <c r="C45" s="108" t="s">
        <v>25</v>
      </c>
      <c r="D45" s="102">
        <v>0</v>
      </c>
      <c r="E45" s="101" t="s">
        <v>288</v>
      </c>
      <c r="F45" s="103">
        <v>46259.666666666664</v>
      </c>
      <c r="G45" s="103">
        <v>46260.625</v>
      </c>
    </row>
    <row r="46" spans="1:7" x14ac:dyDescent="0.35">
      <c r="A46" s="101" t="s">
        <v>362</v>
      </c>
      <c r="B46" s="101" t="s">
        <v>319</v>
      </c>
      <c r="C46" s="108" t="s">
        <v>26</v>
      </c>
      <c r="D46" s="102">
        <v>0</v>
      </c>
      <c r="E46" s="101" t="s">
        <v>288</v>
      </c>
      <c r="F46" s="103">
        <v>46259.666666666664</v>
      </c>
      <c r="G46" s="103">
        <v>46260.625</v>
      </c>
    </row>
    <row r="47" spans="1:7" x14ac:dyDescent="0.35">
      <c r="A47" s="101" t="s">
        <v>363</v>
      </c>
      <c r="B47" s="101" t="s">
        <v>319</v>
      </c>
      <c r="C47" s="108" t="s">
        <v>65</v>
      </c>
      <c r="D47" s="102">
        <v>0</v>
      </c>
      <c r="E47" s="101" t="s">
        <v>288</v>
      </c>
      <c r="F47" s="103">
        <v>46259.666666666664</v>
      </c>
      <c r="G47" s="103">
        <v>46260.625</v>
      </c>
    </row>
    <row r="48" spans="1:7" x14ac:dyDescent="0.35">
      <c r="A48" s="101" t="s">
        <v>364</v>
      </c>
      <c r="B48" s="101" t="s">
        <v>319</v>
      </c>
      <c r="C48" s="108" t="s">
        <v>66</v>
      </c>
      <c r="D48" s="102">
        <v>0</v>
      </c>
      <c r="E48" s="101" t="s">
        <v>288</v>
      </c>
      <c r="F48" s="103">
        <v>46259.666666666664</v>
      </c>
      <c r="G48" s="103">
        <v>46260.625</v>
      </c>
    </row>
    <row r="49" spans="1:7" x14ac:dyDescent="0.35">
      <c r="A49" s="101" t="s">
        <v>365</v>
      </c>
      <c r="B49" s="101" t="s">
        <v>319</v>
      </c>
      <c r="C49" s="108" t="s">
        <v>75</v>
      </c>
      <c r="D49" s="102">
        <v>0</v>
      </c>
      <c r="E49" s="101" t="s">
        <v>288</v>
      </c>
      <c r="F49" s="103">
        <v>46260.625</v>
      </c>
      <c r="G49" s="103">
        <v>46261.583333333336</v>
      </c>
    </row>
    <row r="50" spans="1:7" x14ac:dyDescent="0.35">
      <c r="A50" s="101" t="s">
        <v>366</v>
      </c>
      <c r="B50" s="101" t="s">
        <v>319</v>
      </c>
      <c r="C50" s="108" t="s">
        <v>76</v>
      </c>
      <c r="D50" s="102">
        <v>0</v>
      </c>
      <c r="E50" s="101" t="s">
        <v>288</v>
      </c>
      <c r="F50" s="103">
        <v>46260.625</v>
      </c>
      <c r="G50" s="103">
        <v>46261.583333333336</v>
      </c>
    </row>
    <row r="51" spans="1:7" x14ac:dyDescent="0.35">
      <c r="A51" s="101" t="s">
        <v>367</v>
      </c>
      <c r="B51" s="101" t="s">
        <v>319</v>
      </c>
      <c r="C51" s="108" t="s">
        <v>81</v>
      </c>
      <c r="D51" s="102">
        <v>0</v>
      </c>
      <c r="E51" s="101" t="s">
        <v>288</v>
      </c>
      <c r="F51" s="103">
        <v>46260.625</v>
      </c>
      <c r="G51" s="103">
        <v>46261.583333333336</v>
      </c>
    </row>
    <row r="52" spans="1:7" x14ac:dyDescent="0.35">
      <c r="A52" s="101" t="s">
        <v>368</v>
      </c>
      <c r="B52" s="101" t="s">
        <v>319</v>
      </c>
      <c r="C52" s="108" t="s">
        <v>82</v>
      </c>
      <c r="D52" s="102">
        <v>0</v>
      </c>
      <c r="E52" s="101" t="s">
        <v>288</v>
      </c>
      <c r="F52" s="103">
        <v>46260.625</v>
      </c>
      <c r="G52" s="103">
        <v>46261.583333333336</v>
      </c>
    </row>
    <row r="53" spans="1:7" x14ac:dyDescent="0.35">
      <c r="A53" s="101" t="s">
        <v>369</v>
      </c>
      <c r="B53" s="101" t="s">
        <v>319</v>
      </c>
      <c r="C53" s="108" t="s">
        <v>86</v>
      </c>
      <c r="D53" s="102">
        <v>0</v>
      </c>
      <c r="E53" s="101" t="s">
        <v>288</v>
      </c>
      <c r="F53" s="103">
        <v>46261.583333333336</v>
      </c>
      <c r="G53" s="103">
        <v>46262.5</v>
      </c>
    </row>
    <row r="54" spans="1:7" x14ac:dyDescent="0.35">
      <c r="A54" s="101" t="s">
        <v>370</v>
      </c>
      <c r="B54" s="101" t="s">
        <v>319</v>
      </c>
      <c r="C54" s="108" t="s">
        <v>87</v>
      </c>
      <c r="D54" s="102">
        <v>0</v>
      </c>
      <c r="E54" s="101" t="s">
        <v>288</v>
      </c>
      <c r="F54" s="103">
        <v>46261.583333333336</v>
      </c>
      <c r="G54" s="103">
        <v>46262.5</v>
      </c>
    </row>
    <row r="55" spans="1:7" x14ac:dyDescent="0.35">
      <c r="A55" s="101" t="s">
        <v>371</v>
      </c>
      <c r="B55" s="101" t="s">
        <v>319</v>
      </c>
      <c r="C55" s="108" t="s">
        <v>93</v>
      </c>
      <c r="D55" s="102">
        <v>0</v>
      </c>
      <c r="E55" s="101" t="s">
        <v>288</v>
      </c>
      <c r="F55" s="103">
        <v>46261.583333333336</v>
      </c>
      <c r="G55" s="103">
        <v>46262.5</v>
      </c>
    </row>
    <row r="56" spans="1:7" x14ac:dyDescent="0.35">
      <c r="A56" s="101" t="s">
        <v>372</v>
      </c>
      <c r="B56" s="101" t="s">
        <v>319</v>
      </c>
      <c r="C56" s="108" t="s">
        <v>94</v>
      </c>
      <c r="D56" s="102">
        <v>0</v>
      </c>
      <c r="E56" s="101" t="s">
        <v>288</v>
      </c>
      <c r="F56" s="103">
        <v>46261.583333333336</v>
      </c>
      <c r="G56" s="103">
        <v>46262.5</v>
      </c>
    </row>
    <row r="57" spans="1:7" x14ac:dyDescent="0.35">
      <c r="A57" s="101" t="s">
        <v>373</v>
      </c>
      <c r="B57" s="101" t="s">
        <v>319</v>
      </c>
      <c r="C57" s="108" t="s">
        <v>107</v>
      </c>
      <c r="D57" s="102">
        <v>0</v>
      </c>
      <c r="E57" s="101" t="s">
        <v>288</v>
      </c>
      <c r="F57" s="103">
        <v>46261.583333333336</v>
      </c>
      <c r="G57" s="103">
        <v>46262.5</v>
      </c>
    </row>
    <row r="58" spans="1:7" x14ac:dyDescent="0.35">
      <c r="A58" s="101" t="s">
        <v>374</v>
      </c>
      <c r="B58" s="101" t="s">
        <v>319</v>
      </c>
      <c r="C58" s="108" t="s">
        <v>108</v>
      </c>
      <c r="D58" s="102">
        <v>0</v>
      </c>
      <c r="E58" s="101" t="s">
        <v>288</v>
      </c>
      <c r="F58" s="103">
        <v>46262.541666666664</v>
      </c>
      <c r="G58" s="103">
        <v>46263.458333333336</v>
      </c>
    </row>
    <row r="59" spans="1:7" x14ac:dyDescent="0.35">
      <c r="A59" s="101" t="s">
        <v>375</v>
      </c>
      <c r="B59" s="101" t="s">
        <v>319</v>
      </c>
      <c r="C59" s="108" t="s">
        <v>109</v>
      </c>
      <c r="D59" s="102">
        <v>0</v>
      </c>
      <c r="E59" s="101" t="s">
        <v>288</v>
      </c>
      <c r="F59" s="103">
        <v>46262.541666666664</v>
      </c>
      <c r="G59" s="103">
        <v>46263.458333333336</v>
      </c>
    </row>
    <row r="60" spans="1:7" x14ac:dyDescent="0.35">
      <c r="A60" s="101" t="s">
        <v>376</v>
      </c>
      <c r="B60" s="101" t="s">
        <v>319</v>
      </c>
      <c r="C60" s="108" t="s">
        <v>110</v>
      </c>
      <c r="D60" s="102">
        <v>0</v>
      </c>
      <c r="E60" s="101" t="s">
        <v>288</v>
      </c>
      <c r="F60" s="103">
        <v>46262.541666666664</v>
      </c>
      <c r="G60" s="103">
        <v>46263.458333333336</v>
      </c>
    </row>
    <row r="61" spans="1:7" x14ac:dyDescent="0.35">
      <c r="A61" s="101" t="s">
        <v>377</v>
      </c>
      <c r="B61" s="101" t="s">
        <v>319</v>
      </c>
      <c r="C61" s="108" t="s">
        <v>123</v>
      </c>
      <c r="D61" s="102">
        <v>0</v>
      </c>
      <c r="E61" s="101" t="s">
        <v>288</v>
      </c>
      <c r="F61" s="103">
        <v>46262.541666666664</v>
      </c>
      <c r="G61" s="103">
        <v>46263.458333333336</v>
      </c>
    </row>
    <row r="62" spans="1:7" x14ac:dyDescent="0.35">
      <c r="A62" s="101" t="s">
        <v>378</v>
      </c>
      <c r="B62" s="101" t="s">
        <v>319</v>
      </c>
      <c r="C62" s="108" t="s">
        <v>124</v>
      </c>
      <c r="D62" s="102">
        <v>0</v>
      </c>
      <c r="E62" s="101" t="s">
        <v>288</v>
      </c>
      <c r="F62" s="103">
        <v>46262.541666666664</v>
      </c>
      <c r="G62" s="103">
        <v>46263.458333333336</v>
      </c>
    </row>
    <row r="63" spans="1:7" x14ac:dyDescent="0.35">
      <c r="A63" s="101" t="s">
        <v>379</v>
      </c>
      <c r="B63" s="101" t="s">
        <v>319</v>
      </c>
      <c r="C63" s="108" t="s">
        <v>125</v>
      </c>
      <c r="D63" s="102">
        <v>0</v>
      </c>
      <c r="E63" s="101" t="s">
        <v>288</v>
      </c>
      <c r="F63" s="103">
        <v>46262.541666666664</v>
      </c>
      <c r="G63" s="103">
        <v>46263.458333333336</v>
      </c>
    </row>
    <row r="64" spans="1:7" x14ac:dyDescent="0.35">
      <c r="A64" s="101" t="s">
        <v>380</v>
      </c>
      <c r="B64" s="101" t="s">
        <v>319</v>
      </c>
      <c r="C64" s="108" t="s">
        <v>126</v>
      </c>
      <c r="D64" s="102">
        <v>0</v>
      </c>
      <c r="E64" s="101" t="s">
        <v>288</v>
      </c>
      <c r="F64" s="103">
        <v>46262.541666666664</v>
      </c>
      <c r="G64" s="103">
        <v>46263.458333333336</v>
      </c>
    </row>
    <row r="65" spans="1:7" x14ac:dyDescent="0.35">
      <c r="A65" s="101" t="s">
        <v>381</v>
      </c>
      <c r="B65" s="101" t="s">
        <v>319</v>
      </c>
      <c r="C65" s="108" t="s">
        <v>127</v>
      </c>
      <c r="D65" s="102">
        <v>0</v>
      </c>
      <c r="E65" s="101" t="s">
        <v>288</v>
      </c>
      <c r="F65" s="103">
        <v>46262.541666666664</v>
      </c>
      <c r="G65" s="103">
        <v>46263.458333333336</v>
      </c>
    </row>
    <row r="66" spans="1:7" x14ac:dyDescent="0.35">
      <c r="A66" s="101" t="s">
        <v>382</v>
      </c>
      <c r="B66" s="101" t="s">
        <v>319</v>
      </c>
      <c r="C66" s="108" t="s">
        <v>128</v>
      </c>
      <c r="D66" s="102">
        <v>0</v>
      </c>
      <c r="E66" s="101" t="s">
        <v>288</v>
      </c>
      <c r="F66" s="103">
        <v>46262.541666666664</v>
      </c>
      <c r="G66" s="103">
        <v>46263.458333333336</v>
      </c>
    </row>
    <row r="67" spans="1:7" x14ac:dyDescent="0.35">
      <c r="A67" s="101" t="s">
        <v>383</v>
      </c>
      <c r="B67" s="101" t="s">
        <v>319</v>
      </c>
      <c r="C67" s="108" t="s">
        <v>129</v>
      </c>
      <c r="D67" s="102">
        <v>0</v>
      </c>
      <c r="E67" s="101" t="s">
        <v>288</v>
      </c>
      <c r="F67" s="103">
        <v>46262.541666666664</v>
      </c>
      <c r="G67" s="103">
        <v>46263.458333333336</v>
      </c>
    </row>
    <row r="68" spans="1:7" x14ac:dyDescent="0.35">
      <c r="A68" s="101" t="s">
        <v>384</v>
      </c>
      <c r="B68" s="101" t="s">
        <v>319</v>
      </c>
      <c r="C68" s="108" t="s">
        <v>130</v>
      </c>
      <c r="D68" s="102">
        <v>0</v>
      </c>
      <c r="E68" s="101" t="s">
        <v>288</v>
      </c>
      <c r="F68" s="103">
        <v>46262.541666666664</v>
      </c>
      <c r="G68" s="103">
        <v>46263.458333333336</v>
      </c>
    </row>
    <row r="69" spans="1:7" x14ac:dyDescent="0.35">
      <c r="A69" s="101" t="s">
        <v>385</v>
      </c>
      <c r="B69" s="101" t="s">
        <v>319</v>
      </c>
      <c r="C69" s="108" t="s">
        <v>134</v>
      </c>
      <c r="D69" s="102">
        <v>0</v>
      </c>
      <c r="E69" s="101" t="s">
        <v>288</v>
      </c>
      <c r="F69" s="103">
        <v>46263.458333333336</v>
      </c>
      <c r="G69" s="103">
        <v>46264.416666666664</v>
      </c>
    </row>
    <row r="70" spans="1:7" x14ac:dyDescent="0.35">
      <c r="A70" s="101" t="s">
        <v>386</v>
      </c>
      <c r="B70" s="101" t="s">
        <v>319</v>
      </c>
      <c r="C70" s="108" t="s">
        <v>135</v>
      </c>
      <c r="D70" s="102">
        <v>0</v>
      </c>
      <c r="E70" s="101" t="s">
        <v>288</v>
      </c>
      <c r="F70" s="103">
        <v>46263.458333333336</v>
      </c>
      <c r="G70" s="103">
        <v>46264.416666666664</v>
      </c>
    </row>
    <row r="71" spans="1:7" x14ac:dyDescent="0.35">
      <c r="A71" s="101" t="s">
        <v>387</v>
      </c>
      <c r="B71" s="101" t="s">
        <v>319</v>
      </c>
      <c r="C71" s="108" t="s">
        <v>140</v>
      </c>
      <c r="D71" s="102">
        <v>0</v>
      </c>
      <c r="E71" s="101" t="s">
        <v>288</v>
      </c>
      <c r="F71" s="103">
        <v>46263.458333333336</v>
      </c>
      <c r="G71" s="103">
        <v>46264.416666666664</v>
      </c>
    </row>
    <row r="72" spans="1:7" x14ac:dyDescent="0.35">
      <c r="A72" s="101" t="s">
        <v>388</v>
      </c>
      <c r="B72" s="101" t="s">
        <v>319</v>
      </c>
      <c r="C72" s="108" t="s">
        <v>141</v>
      </c>
      <c r="D72" s="102">
        <v>0</v>
      </c>
      <c r="E72" s="101" t="s">
        <v>288</v>
      </c>
      <c r="F72" s="103">
        <v>46263.458333333336</v>
      </c>
      <c r="G72" s="103">
        <v>46264.416666666664</v>
      </c>
    </row>
    <row r="73" spans="1:7" x14ac:dyDescent="0.35">
      <c r="A73" s="101" t="s">
        <v>389</v>
      </c>
      <c r="B73" s="101" t="s">
        <v>319</v>
      </c>
      <c r="C73" s="108" t="s">
        <v>142</v>
      </c>
      <c r="D73" s="102">
        <v>0</v>
      </c>
      <c r="E73" s="101" t="s">
        <v>288</v>
      </c>
      <c r="F73" s="103">
        <v>46263.458333333336</v>
      </c>
      <c r="G73" s="103">
        <v>46264.416666666664</v>
      </c>
    </row>
    <row r="74" spans="1:7" x14ac:dyDescent="0.35">
      <c r="A74" s="101" t="s">
        <v>390</v>
      </c>
      <c r="B74" s="101" t="s">
        <v>319</v>
      </c>
      <c r="C74" s="108" t="s">
        <v>143</v>
      </c>
      <c r="D74" s="102">
        <v>0</v>
      </c>
      <c r="E74" s="101" t="s">
        <v>288</v>
      </c>
      <c r="F74" s="103">
        <v>46264.416666666664</v>
      </c>
      <c r="G74" s="103">
        <v>46265.375</v>
      </c>
    </row>
    <row r="75" spans="1:7" x14ac:dyDescent="0.35">
      <c r="A75" s="101" t="s">
        <v>391</v>
      </c>
      <c r="B75" s="101" t="s">
        <v>319</v>
      </c>
      <c r="C75" s="108" t="s">
        <v>144</v>
      </c>
      <c r="D75" s="102">
        <v>0</v>
      </c>
      <c r="E75" s="101" t="s">
        <v>288</v>
      </c>
      <c r="F75" s="103">
        <v>46264.416666666664</v>
      </c>
      <c r="G75" s="103">
        <v>46265.375</v>
      </c>
    </row>
    <row r="76" spans="1:7" x14ac:dyDescent="0.35">
      <c r="A76" s="101" t="s">
        <v>392</v>
      </c>
      <c r="B76" s="101" t="s">
        <v>319</v>
      </c>
      <c r="C76" s="108" t="s">
        <v>149</v>
      </c>
      <c r="D76" s="102">
        <v>0</v>
      </c>
      <c r="E76" s="101" t="s">
        <v>288</v>
      </c>
      <c r="F76" s="103">
        <v>46264.416666666664</v>
      </c>
      <c r="G76" s="103">
        <v>46265.375</v>
      </c>
    </row>
    <row r="77" spans="1:7" x14ac:dyDescent="0.35">
      <c r="A77" s="101" t="s">
        <v>393</v>
      </c>
      <c r="B77" s="101" t="s">
        <v>319</v>
      </c>
      <c r="C77" s="108" t="s">
        <v>152</v>
      </c>
      <c r="D77" s="102">
        <v>0</v>
      </c>
      <c r="E77" s="101" t="s">
        <v>288</v>
      </c>
      <c r="F77" s="103">
        <v>46264.416666666664</v>
      </c>
      <c r="G77" s="103">
        <v>46265.375</v>
      </c>
    </row>
    <row r="78" spans="1:7" x14ac:dyDescent="0.35">
      <c r="A78" s="101" t="s">
        <v>394</v>
      </c>
      <c r="B78" s="101" t="s">
        <v>319</v>
      </c>
      <c r="C78" s="108" t="s">
        <v>158</v>
      </c>
      <c r="D78" s="102">
        <v>0</v>
      </c>
      <c r="E78" s="101" t="s">
        <v>288</v>
      </c>
      <c r="F78" s="103">
        <v>46265.375</v>
      </c>
      <c r="G78" s="103">
        <v>46266.333333333336</v>
      </c>
    </row>
    <row r="79" spans="1:7" x14ac:dyDescent="0.35">
      <c r="A79" s="101" t="s">
        <v>395</v>
      </c>
      <c r="B79" s="101" t="s">
        <v>319</v>
      </c>
      <c r="C79" s="108" t="s">
        <v>160</v>
      </c>
      <c r="D79" s="102">
        <v>0</v>
      </c>
      <c r="E79" s="101" t="s">
        <v>288</v>
      </c>
      <c r="F79" s="103">
        <v>46265.375</v>
      </c>
      <c r="G79" s="103">
        <v>46266.333333333336</v>
      </c>
    </row>
    <row r="80" spans="1:7" x14ac:dyDescent="0.35">
      <c r="A80" s="101" t="s">
        <v>396</v>
      </c>
      <c r="B80" s="101" t="s">
        <v>319</v>
      </c>
      <c r="C80" s="108" t="s">
        <v>161</v>
      </c>
      <c r="D80" s="102">
        <v>0</v>
      </c>
      <c r="E80" s="101" t="s">
        <v>288</v>
      </c>
      <c r="F80" s="103">
        <v>46265.375</v>
      </c>
      <c r="G80" s="103">
        <v>46266.333333333336</v>
      </c>
    </row>
    <row r="81" spans="1:7" x14ac:dyDescent="0.35">
      <c r="A81" s="101" t="s">
        <v>397</v>
      </c>
      <c r="B81" s="101" t="s">
        <v>319</v>
      </c>
      <c r="C81" s="108" t="s">
        <v>163</v>
      </c>
      <c r="D81" s="102">
        <v>0</v>
      </c>
      <c r="E81" s="101" t="s">
        <v>288</v>
      </c>
      <c r="F81" s="103">
        <v>46265.375</v>
      </c>
      <c r="G81" s="103">
        <v>46266.333333333336</v>
      </c>
    </row>
    <row r="82" spans="1:7" x14ac:dyDescent="0.35">
      <c r="A82" s="101" t="s">
        <v>398</v>
      </c>
      <c r="B82" s="101" t="s">
        <v>319</v>
      </c>
      <c r="C82" s="108" t="s">
        <v>164</v>
      </c>
      <c r="D82" s="102">
        <v>0</v>
      </c>
      <c r="E82" s="101" t="s">
        <v>327</v>
      </c>
      <c r="F82" s="103">
        <v>46266.333333333336</v>
      </c>
      <c r="G82" s="103">
        <v>46267.666666666664</v>
      </c>
    </row>
    <row r="83" spans="1:7" x14ac:dyDescent="0.35">
      <c r="A83" s="101" t="s">
        <v>399</v>
      </c>
      <c r="B83" s="101" t="s">
        <v>319</v>
      </c>
      <c r="C83" s="108" t="s">
        <v>165</v>
      </c>
      <c r="D83" s="102">
        <v>0</v>
      </c>
      <c r="E83" s="101" t="s">
        <v>288</v>
      </c>
      <c r="F83" s="103">
        <v>46267.291666666664</v>
      </c>
      <c r="G83" s="103">
        <v>46267.666666666664</v>
      </c>
    </row>
    <row r="84" spans="1:7" x14ac:dyDescent="0.35">
      <c r="A84" s="101" t="s">
        <v>400</v>
      </c>
      <c r="B84" s="101" t="s">
        <v>319</v>
      </c>
      <c r="C84" s="108" t="s">
        <v>176</v>
      </c>
      <c r="D84" s="102">
        <v>0</v>
      </c>
      <c r="E84" s="101" t="s">
        <v>288</v>
      </c>
      <c r="F84" s="103">
        <v>46267.291666666664</v>
      </c>
      <c r="G84" s="103">
        <v>46267.666666666664</v>
      </c>
    </row>
    <row r="85" spans="1:7" x14ac:dyDescent="0.35">
      <c r="A85" s="101" t="s">
        <v>401</v>
      </c>
      <c r="B85" s="101" t="s">
        <v>314</v>
      </c>
      <c r="C85" s="105" t="s">
        <v>514</v>
      </c>
      <c r="D85" s="102">
        <v>0</v>
      </c>
      <c r="E85" s="101" t="s">
        <v>402</v>
      </c>
      <c r="F85" s="103">
        <v>46267.291666666664</v>
      </c>
      <c r="G85" s="103">
        <v>46279.458333333336</v>
      </c>
    </row>
    <row r="86" spans="1:7" x14ac:dyDescent="0.35">
      <c r="A86" s="101" t="s">
        <v>403</v>
      </c>
      <c r="B86" s="101" t="s">
        <v>314</v>
      </c>
      <c r="C86" s="108" t="s">
        <v>2</v>
      </c>
      <c r="D86" s="102">
        <v>0</v>
      </c>
      <c r="E86" s="101" t="s">
        <v>288</v>
      </c>
      <c r="F86" s="103">
        <v>46267.291666666664</v>
      </c>
      <c r="G86" s="103">
        <v>46267.666666666664</v>
      </c>
    </row>
    <row r="87" spans="1:7" x14ac:dyDescent="0.35">
      <c r="A87" s="101" t="s">
        <v>404</v>
      </c>
      <c r="B87" s="101" t="s">
        <v>319</v>
      </c>
      <c r="C87" s="108" t="s">
        <v>11</v>
      </c>
      <c r="D87" s="102">
        <v>0</v>
      </c>
      <c r="E87" s="101" t="s">
        <v>288</v>
      </c>
      <c r="F87" s="103">
        <v>46268.291666666664</v>
      </c>
      <c r="G87" s="103">
        <v>46268.666666666664</v>
      </c>
    </row>
    <row r="88" spans="1:7" x14ac:dyDescent="0.35">
      <c r="A88" s="101" t="s">
        <v>405</v>
      </c>
      <c r="B88" s="101" t="s">
        <v>319</v>
      </c>
      <c r="C88" s="108" t="s">
        <v>12</v>
      </c>
      <c r="D88" s="102">
        <v>0</v>
      </c>
      <c r="E88" s="101" t="s">
        <v>288</v>
      </c>
      <c r="F88" s="103">
        <v>46268.291666666664</v>
      </c>
      <c r="G88" s="103">
        <v>46268.666666666664</v>
      </c>
    </row>
    <row r="89" spans="1:7" x14ac:dyDescent="0.35">
      <c r="A89" s="101" t="s">
        <v>406</v>
      </c>
      <c r="B89" s="101" t="s">
        <v>319</v>
      </c>
      <c r="C89" s="108" t="s">
        <v>17</v>
      </c>
      <c r="D89" s="102">
        <v>0</v>
      </c>
      <c r="E89" s="101" t="s">
        <v>288</v>
      </c>
      <c r="F89" s="103">
        <v>46268.291666666664</v>
      </c>
      <c r="G89" s="103">
        <v>46268.666666666664</v>
      </c>
    </row>
    <row r="90" spans="1:7" x14ac:dyDescent="0.35">
      <c r="A90" s="101" t="s">
        <v>407</v>
      </c>
      <c r="B90" s="101" t="s">
        <v>319</v>
      </c>
      <c r="C90" s="108" t="s">
        <v>18</v>
      </c>
      <c r="D90" s="102">
        <v>0</v>
      </c>
      <c r="E90" s="101" t="s">
        <v>288</v>
      </c>
      <c r="F90" s="103">
        <v>46268.291666666664</v>
      </c>
      <c r="G90" s="103">
        <v>46268.666666666664</v>
      </c>
    </row>
    <row r="91" spans="1:7" x14ac:dyDescent="0.35">
      <c r="A91" s="101" t="s">
        <v>408</v>
      </c>
      <c r="B91" s="101" t="s">
        <v>319</v>
      </c>
      <c r="C91" s="108" t="s">
        <v>19</v>
      </c>
      <c r="D91" s="102">
        <v>0</v>
      </c>
      <c r="E91" s="101" t="s">
        <v>288</v>
      </c>
      <c r="F91" s="103">
        <v>46268.291666666664</v>
      </c>
      <c r="G91" s="103">
        <v>46268.666666666664</v>
      </c>
    </row>
    <row r="92" spans="1:7" x14ac:dyDescent="0.35">
      <c r="A92" s="101" t="s">
        <v>409</v>
      </c>
      <c r="B92" s="101" t="s">
        <v>319</v>
      </c>
      <c r="C92" s="108" t="s">
        <v>20</v>
      </c>
      <c r="D92" s="102">
        <v>0</v>
      </c>
      <c r="E92" s="101" t="s">
        <v>288</v>
      </c>
      <c r="F92" s="103">
        <v>46268.291666666664</v>
      </c>
      <c r="G92" s="103">
        <v>46268.666666666664</v>
      </c>
    </row>
    <row r="93" spans="1:7" x14ac:dyDescent="0.35">
      <c r="A93" s="101" t="s">
        <v>410</v>
      </c>
      <c r="B93" s="101" t="s">
        <v>319</v>
      </c>
      <c r="C93" s="108" t="s">
        <v>21</v>
      </c>
      <c r="D93" s="102">
        <v>0</v>
      </c>
      <c r="E93" s="101" t="s">
        <v>288</v>
      </c>
      <c r="F93" s="103">
        <v>46268.291666666664</v>
      </c>
      <c r="G93" s="103">
        <v>46268.666666666664</v>
      </c>
    </row>
    <row r="94" spans="1:7" x14ac:dyDescent="0.35">
      <c r="A94" s="101" t="s">
        <v>411</v>
      </c>
      <c r="B94" s="101" t="s">
        <v>319</v>
      </c>
      <c r="C94" s="108" t="s">
        <v>22</v>
      </c>
      <c r="D94" s="102">
        <v>0</v>
      </c>
      <c r="E94" s="101" t="s">
        <v>288</v>
      </c>
      <c r="F94" s="103">
        <v>46268.666666666664</v>
      </c>
      <c r="G94" s="103">
        <v>46269.625</v>
      </c>
    </row>
    <row r="95" spans="1:7" x14ac:dyDescent="0.35">
      <c r="A95" s="101" t="s">
        <v>412</v>
      </c>
      <c r="B95" s="101" t="s">
        <v>319</v>
      </c>
      <c r="C95" s="108" t="s">
        <v>42</v>
      </c>
      <c r="D95" s="102">
        <v>0</v>
      </c>
      <c r="E95" s="101" t="s">
        <v>288</v>
      </c>
      <c r="F95" s="103">
        <v>46268.666666666664</v>
      </c>
      <c r="G95" s="103">
        <v>46269.625</v>
      </c>
    </row>
    <row r="96" spans="1:7" x14ac:dyDescent="0.35">
      <c r="A96" s="101" t="s">
        <v>413</v>
      </c>
      <c r="B96" s="101" t="s">
        <v>319</v>
      </c>
      <c r="C96" s="108" t="s">
        <v>43</v>
      </c>
      <c r="D96" s="102">
        <v>0</v>
      </c>
      <c r="E96" s="101" t="s">
        <v>288</v>
      </c>
      <c r="F96" s="103">
        <v>46268.666666666664</v>
      </c>
      <c r="G96" s="103">
        <v>46269.625</v>
      </c>
    </row>
    <row r="97" spans="1:7" x14ac:dyDescent="0.35">
      <c r="A97" s="101" t="s">
        <v>414</v>
      </c>
      <c r="B97" s="101" t="s">
        <v>319</v>
      </c>
      <c r="C97" s="108" t="s">
        <v>44</v>
      </c>
      <c r="D97" s="102">
        <v>0</v>
      </c>
      <c r="E97" s="101" t="s">
        <v>288</v>
      </c>
      <c r="F97" s="103">
        <v>46268.666666666664</v>
      </c>
      <c r="G97" s="103">
        <v>46269.625</v>
      </c>
    </row>
    <row r="98" spans="1:7" x14ac:dyDescent="0.35">
      <c r="A98" s="101" t="s">
        <v>415</v>
      </c>
      <c r="B98" s="101" t="s">
        <v>319</v>
      </c>
      <c r="C98" s="108" t="s">
        <v>45</v>
      </c>
      <c r="D98" s="102">
        <v>0</v>
      </c>
      <c r="E98" s="101" t="s">
        <v>288</v>
      </c>
      <c r="F98" s="103">
        <v>46269.625</v>
      </c>
      <c r="G98" s="103">
        <v>46270.583333333336</v>
      </c>
    </row>
    <row r="99" spans="1:7" x14ac:dyDescent="0.35">
      <c r="A99" s="101" t="s">
        <v>416</v>
      </c>
      <c r="B99" s="101" t="s">
        <v>319</v>
      </c>
      <c r="C99" s="108" t="s">
        <v>47</v>
      </c>
      <c r="D99" s="102">
        <v>0</v>
      </c>
      <c r="E99" s="101" t="s">
        <v>288</v>
      </c>
      <c r="F99" s="103">
        <v>46269.625</v>
      </c>
      <c r="G99" s="103">
        <v>46270.583333333336</v>
      </c>
    </row>
    <row r="100" spans="1:7" x14ac:dyDescent="0.35">
      <c r="A100" s="101" t="s">
        <v>417</v>
      </c>
      <c r="B100" s="101" t="s">
        <v>319</v>
      </c>
      <c r="C100" s="108" t="s">
        <v>48</v>
      </c>
      <c r="D100" s="102">
        <v>0</v>
      </c>
      <c r="E100" s="101" t="s">
        <v>288</v>
      </c>
      <c r="F100" s="103">
        <v>46269.625</v>
      </c>
      <c r="G100" s="103">
        <v>46270.583333333336</v>
      </c>
    </row>
    <row r="101" spans="1:7" x14ac:dyDescent="0.35">
      <c r="A101" s="101" t="s">
        <v>418</v>
      </c>
      <c r="B101" s="101" t="s">
        <v>319</v>
      </c>
      <c r="C101" s="108" t="s">
        <v>49</v>
      </c>
      <c r="D101" s="102">
        <v>0</v>
      </c>
      <c r="E101" s="101" t="s">
        <v>288</v>
      </c>
      <c r="F101" s="103">
        <v>46269.625</v>
      </c>
      <c r="G101" s="103">
        <v>46270.583333333336</v>
      </c>
    </row>
    <row r="102" spans="1:7" x14ac:dyDescent="0.35">
      <c r="A102" s="101" t="s">
        <v>419</v>
      </c>
      <c r="B102" s="101" t="s">
        <v>319</v>
      </c>
      <c r="C102" s="108" t="s">
        <v>50</v>
      </c>
      <c r="D102" s="102">
        <v>0</v>
      </c>
      <c r="E102" s="101" t="s">
        <v>288</v>
      </c>
      <c r="F102" s="103">
        <v>46269.625</v>
      </c>
      <c r="G102" s="103">
        <v>46270.583333333336</v>
      </c>
    </row>
    <row r="103" spans="1:7" x14ac:dyDescent="0.35">
      <c r="A103" s="101" t="s">
        <v>420</v>
      </c>
      <c r="B103" s="101" t="s">
        <v>319</v>
      </c>
      <c r="C103" s="108" t="s">
        <v>51</v>
      </c>
      <c r="D103" s="102">
        <v>0</v>
      </c>
      <c r="E103" s="101" t="s">
        <v>288</v>
      </c>
      <c r="F103" s="103">
        <v>46270.583333333336</v>
      </c>
      <c r="G103" s="103">
        <v>46271.5</v>
      </c>
    </row>
    <row r="104" spans="1:7" x14ac:dyDescent="0.35">
      <c r="A104" s="101" t="s">
        <v>421</v>
      </c>
      <c r="B104" s="101" t="s">
        <v>319</v>
      </c>
      <c r="C104" s="108" t="s">
        <v>52</v>
      </c>
      <c r="D104" s="102">
        <v>0</v>
      </c>
      <c r="E104" s="101" t="s">
        <v>288</v>
      </c>
      <c r="F104" s="103">
        <v>46270.583333333336</v>
      </c>
      <c r="G104" s="103">
        <v>46271.5</v>
      </c>
    </row>
    <row r="105" spans="1:7" x14ac:dyDescent="0.35">
      <c r="A105" s="101" t="s">
        <v>422</v>
      </c>
      <c r="B105" s="101" t="s">
        <v>319</v>
      </c>
      <c r="C105" s="108" t="s">
        <v>53</v>
      </c>
      <c r="D105" s="102">
        <v>0</v>
      </c>
      <c r="E105" s="101" t="s">
        <v>288</v>
      </c>
      <c r="F105" s="103">
        <v>46270.583333333336</v>
      </c>
      <c r="G105" s="103">
        <v>46271.5</v>
      </c>
    </row>
    <row r="106" spans="1:7" x14ac:dyDescent="0.35">
      <c r="A106" s="101" t="s">
        <v>423</v>
      </c>
      <c r="B106" s="101" t="s">
        <v>319</v>
      </c>
      <c r="C106" s="108" t="s">
        <v>62</v>
      </c>
      <c r="D106" s="102">
        <v>0</v>
      </c>
      <c r="E106" s="101" t="s">
        <v>288</v>
      </c>
      <c r="F106" s="103">
        <v>46271.541666666664</v>
      </c>
      <c r="G106" s="103">
        <v>46272.458333333336</v>
      </c>
    </row>
    <row r="107" spans="1:7" x14ac:dyDescent="0.35">
      <c r="A107" s="101" t="s">
        <v>424</v>
      </c>
      <c r="B107" s="101" t="s">
        <v>319</v>
      </c>
      <c r="C107" s="108" t="s">
        <v>63</v>
      </c>
      <c r="D107" s="102">
        <v>0</v>
      </c>
      <c r="E107" s="101" t="s">
        <v>288</v>
      </c>
      <c r="F107" s="103">
        <v>46271.541666666664</v>
      </c>
      <c r="G107" s="103">
        <v>46272.458333333336</v>
      </c>
    </row>
    <row r="108" spans="1:7" x14ac:dyDescent="0.35">
      <c r="A108" s="101" t="s">
        <v>425</v>
      </c>
      <c r="B108" s="101" t="s">
        <v>319</v>
      </c>
      <c r="C108" s="108" t="s">
        <v>64</v>
      </c>
      <c r="D108" s="102">
        <v>0</v>
      </c>
      <c r="E108" s="101" t="s">
        <v>288</v>
      </c>
      <c r="F108" s="103">
        <v>46271.541666666664</v>
      </c>
      <c r="G108" s="103">
        <v>46272.458333333336</v>
      </c>
    </row>
    <row r="109" spans="1:7" x14ac:dyDescent="0.35">
      <c r="A109" s="101" t="s">
        <v>426</v>
      </c>
      <c r="B109" s="101" t="s">
        <v>319</v>
      </c>
      <c r="C109" s="108" t="s">
        <v>67</v>
      </c>
      <c r="D109" s="102">
        <v>0</v>
      </c>
      <c r="E109" s="101" t="s">
        <v>288</v>
      </c>
      <c r="F109" s="103">
        <v>46272.458333333336</v>
      </c>
      <c r="G109" s="103">
        <v>46273.416666666664</v>
      </c>
    </row>
    <row r="110" spans="1:7" x14ac:dyDescent="0.35">
      <c r="A110" s="101" t="s">
        <v>427</v>
      </c>
      <c r="B110" s="101" t="s">
        <v>319</v>
      </c>
      <c r="C110" s="108" t="s">
        <v>68</v>
      </c>
      <c r="D110" s="102">
        <v>0</v>
      </c>
      <c r="E110" s="101" t="s">
        <v>288</v>
      </c>
      <c r="F110" s="103">
        <v>46272.458333333336</v>
      </c>
      <c r="G110" s="103">
        <v>46273.416666666664</v>
      </c>
    </row>
    <row r="111" spans="1:7" x14ac:dyDescent="0.35">
      <c r="A111" s="101" t="s">
        <v>428</v>
      </c>
      <c r="B111" s="101" t="s">
        <v>319</v>
      </c>
      <c r="C111" s="108" t="s">
        <v>69</v>
      </c>
      <c r="D111" s="102">
        <v>0</v>
      </c>
      <c r="E111" s="101" t="s">
        <v>288</v>
      </c>
      <c r="F111" s="103">
        <v>46272.458333333336</v>
      </c>
      <c r="G111" s="103">
        <v>46273.416666666664</v>
      </c>
    </row>
    <row r="112" spans="1:7" x14ac:dyDescent="0.35">
      <c r="A112" s="101" t="s">
        <v>429</v>
      </c>
      <c r="B112" s="101" t="s">
        <v>319</v>
      </c>
      <c r="C112" s="108" t="s">
        <v>70</v>
      </c>
      <c r="D112" s="102">
        <v>0</v>
      </c>
      <c r="E112" s="101" t="s">
        <v>288</v>
      </c>
      <c r="F112" s="103">
        <v>46272.458333333336</v>
      </c>
      <c r="G112" s="103">
        <v>46273.416666666664</v>
      </c>
    </row>
    <row r="113" spans="1:7" x14ac:dyDescent="0.35">
      <c r="A113" s="101" t="s">
        <v>430</v>
      </c>
      <c r="B113" s="101" t="s">
        <v>319</v>
      </c>
      <c r="C113" s="108" t="s">
        <v>74</v>
      </c>
      <c r="D113" s="102">
        <v>0</v>
      </c>
      <c r="E113" s="101" t="s">
        <v>288</v>
      </c>
      <c r="F113" s="103">
        <v>46273.416666666664</v>
      </c>
      <c r="G113" s="103">
        <v>46274.375</v>
      </c>
    </row>
    <row r="114" spans="1:7" x14ac:dyDescent="0.35">
      <c r="A114" s="101" t="s">
        <v>431</v>
      </c>
      <c r="B114" s="101" t="s">
        <v>319</v>
      </c>
      <c r="C114" s="108" t="s">
        <v>78</v>
      </c>
      <c r="D114" s="102">
        <v>0</v>
      </c>
      <c r="E114" s="101" t="s">
        <v>288</v>
      </c>
      <c r="F114" s="103">
        <v>46273.416666666664</v>
      </c>
      <c r="G114" s="103">
        <v>46274.375</v>
      </c>
    </row>
    <row r="115" spans="1:7" x14ac:dyDescent="0.35">
      <c r="A115" s="101" t="s">
        <v>432</v>
      </c>
      <c r="B115" s="101" t="s">
        <v>319</v>
      </c>
      <c r="C115" s="108" t="s">
        <v>79</v>
      </c>
      <c r="D115" s="102">
        <v>0</v>
      </c>
      <c r="E115" s="101" t="s">
        <v>288</v>
      </c>
      <c r="F115" s="103">
        <v>46273.416666666664</v>
      </c>
      <c r="G115" s="103">
        <v>46274.375</v>
      </c>
    </row>
    <row r="116" spans="1:7" x14ac:dyDescent="0.35">
      <c r="A116" s="101" t="s">
        <v>433</v>
      </c>
      <c r="B116" s="101" t="s">
        <v>319</v>
      </c>
      <c r="C116" s="108" t="s">
        <v>89</v>
      </c>
      <c r="D116" s="102">
        <v>0</v>
      </c>
      <c r="E116" s="101" t="s">
        <v>288</v>
      </c>
      <c r="F116" s="103">
        <v>46273.416666666664</v>
      </c>
      <c r="G116" s="103">
        <v>46274.375</v>
      </c>
    </row>
    <row r="117" spans="1:7" x14ac:dyDescent="0.35">
      <c r="A117" s="101" t="s">
        <v>434</v>
      </c>
      <c r="B117" s="101" t="s">
        <v>319</v>
      </c>
      <c r="C117" s="108" t="s">
        <v>90</v>
      </c>
      <c r="D117" s="102">
        <v>0</v>
      </c>
      <c r="E117" s="101" t="s">
        <v>288</v>
      </c>
      <c r="F117" s="103">
        <v>46273.416666666664</v>
      </c>
      <c r="G117" s="103">
        <v>46274.375</v>
      </c>
    </row>
    <row r="118" spans="1:7" x14ac:dyDescent="0.35">
      <c r="A118" s="101" t="s">
        <v>435</v>
      </c>
      <c r="B118" s="101" t="s">
        <v>319</v>
      </c>
      <c r="C118" s="108" t="s">
        <v>92</v>
      </c>
      <c r="D118" s="102">
        <v>0</v>
      </c>
      <c r="E118" s="101" t="s">
        <v>327</v>
      </c>
      <c r="F118" s="103">
        <v>46273.416666666664</v>
      </c>
      <c r="G118" s="103">
        <v>46275.333333333336</v>
      </c>
    </row>
    <row r="119" spans="1:7" x14ac:dyDescent="0.35">
      <c r="A119" s="101" t="s">
        <v>436</v>
      </c>
      <c r="B119" s="101" t="s">
        <v>319</v>
      </c>
      <c r="C119" s="108" t="s">
        <v>96</v>
      </c>
      <c r="D119" s="102">
        <v>0</v>
      </c>
      <c r="E119" s="101" t="s">
        <v>327</v>
      </c>
      <c r="F119" s="103">
        <v>46275.333333333336</v>
      </c>
      <c r="G119" s="103">
        <v>46276.666666666664</v>
      </c>
    </row>
    <row r="120" spans="1:7" x14ac:dyDescent="0.35">
      <c r="A120" s="101" t="s">
        <v>437</v>
      </c>
      <c r="B120" s="101" t="s">
        <v>319</v>
      </c>
      <c r="C120" s="108" t="s">
        <v>97</v>
      </c>
      <c r="D120" s="102">
        <v>0</v>
      </c>
      <c r="E120" s="101" t="s">
        <v>327</v>
      </c>
      <c r="F120" s="103">
        <v>46275.333333333336</v>
      </c>
      <c r="G120" s="103">
        <v>46276.666666666664</v>
      </c>
    </row>
    <row r="121" spans="1:7" x14ac:dyDescent="0.35">
      <c r="A121" s="101" t="s">
        <v>438</v>
      </c>
      <c r="B121" s="101" t="s">
        <v>319</v>
      </c>
      <c r="C121" s="108" t="s">
        <v>98</v>
      </c>
      <c r="D121" s="102">
        <v>0</v>
      </c>
      <c r="E121" s="101" t="s">
        <v>288</v>
      </c>
      <c r="F121" s="103">
        <v>46275.333333333336</v>
      </c>
      <c r="G121" s="103">
        <v>46275.708333333336</v>
      </c>
    </row>
    <row r="122" spans="1:7" x14ac:dyDescent="0.35">
      <c r="A122" s="101" t="s">
        <v>439</v>
      </c>
      <c r="B122" s="101" t="s">
        <v>319</v>
      </c>
      <c r="C122" s="108" t="s">
        <v>101</v>
      </c>
      <c r="D122" s="102">
        <v>0</v>
      </c>
      <c r="E122" s="101" t="s">
        <v>288</v>
      </c>
      <c r="F122" s="103">
        <v>46275.333333333336</v>
      </c>
      <c r="G122" s="103">
        <v>46275.708333333336</v>
      </c>
    </row>
    <row r="123" spans="1:7" x14ac:dyDescent="0.35">
      <c r="A123" s="101" t="s">
        <v>440</v>
      </c>
      <c r="B123" s="101" t="s">
        <v>319</v>
      </c>
      <c r="C123" s="108" t="s">
        <v>104</v>
      </c>
      <c r="D123" s="102">
        <v>0</v>
      </c>
      <c r="E123" s="101" t="s">
        <v>288</v>
      </c>
      <c r="F123" s="103">
        <v>46275.333333333336</v>
      </c>
      <c r="G123" s="103">
        <v>46275.708333333336</v>
      </c>
    </row>
    <row r="124" spans="1:7" x14ac:dyDescent="0.35">
      <c r="A124" s="101" t="s">
        <v>441</v>
      </c>
      <c r="B124" s="101" t="s">
        <v>319</v>
      </c>
      <c r="C124" s="108" t="s">
        <v>105</v>
      </c>
      <c r="D124" s="102">
        <v>0</v>
      </c>
      <c r="E124" s="101" t="s">
        <v>288</v>
      </c>
      <c r="F124" s="103">
        <v>46275.333333333336</v>
      </c>
      <c r="G124" s="103">
        <v>46275.708333333336</v>
      </c>
    </row>
    <row r="125" spans="1:7" x14ac:dyDescent="0.35">
      <c r="A125" s="101" t="s">
        <v>442</v>
      </c>
      <c r="B125" s="101" t="s">
        <v>319</v>
      </c>
      <c r="C125" s="108" t="s">
        <v>106</v>
      </c>
      <c r="D125" s="102">
        <v>0</v>
      </c>
      <c r="E125" s="101" t="s">
        <v>327</v>
      </c>
      <c r="F125" s="103">
        <v>46276.291666666664</v>
      </c>
      <c r="G125" s="103">
        <v>46277.625</v>
      </c>
    </row>
    <row r="126" spans="1:7" x14ac:dyDescent="0.35">
      <c r="A126" s="101" t="s">
        <v>443</v>
      </c>
      <c r="B126" s="101" t="s">
        <v>319</v>
      </c>
      <c r="C126" s="108" t="s">
        <v>115</v>
      </c>
      <c r="D126" s="102">
        <v>0</v>
      </c>
      <c r="E126" s="101" t="s">
        <v>288</v>
      </c>
      <c r="F126" s="103">
        <v>46276.291666666664</v>
      </c>
      <c r="G126" s="103">
        <v>46276.666666666664</v>
      </c>
    </row>
    <row r="127" spans="1:7" x14ac:dyDescent="0.35">
      <c r="A127" s="101" t="s">
        <v>444</v>
      </c>
      <c r="B127" s="101" t="s">
        <v>319</v>
      </c>
      <c r="C127" s="108" t="s">
        <v>116</v>
      </c>
      <c r="D127" s="102">
        <v>0</v>
      </c>
      <c r="E127" s="101" t="s">
        <v>327</v>
      </c>
      <c r="F127" s="103">
        <v>46276.291666666664</v>
      </c>
      <c r="G127" s="103">
        <v>46277.625</v>
      </c>
    </row>
    <row r="128" spans="1:7" x14ac:dyDescent="0.35">
      <c r="A128" s="101" t="s">
        <v>445</v>
      </c>
      <c r="B128" s="101" t="s">
        <v>319</v>
      </c>
      <c r="C128" s="108" t="s">
        <v>117</v>
      </c>
      <c r="D128" s="102">
        <v>0</v>
      </c>
      <c r="E128" s="101" t="s">
        <v>327</v>
      </c>
      <c r="F128" s="103">
        <v>46276.291666666664</v>
      </c>
      <c r="G128" s="103">
        <v>46277.625</v>
      </c>
    </row>
    <row r="129" spans="1:7" x14ac:dyDescent="0.35">
      <c r="A129" s="101" t="s">
        <v>446</v>
      </c>
      <c r="B129" s="101" t="s">
        <v>319</v>
      </c>
      <c r="C129" s="108" t="s">
        <v>118</v>
      </c>
      <c r="D129" s="102">
        <v>0</v>
      </c>
      <c r="E129" s="101" t="s">
        <v>327</v>
      </c>
      <c r="F129" s="103">
        <v>46276.291666666664</v>
      </c>
      <c r="G129" s="103">
        <v>46277.625</v>
      </c>
    </row>
    <row r="130" spans="1:7" x14ac:dyDescent="0.35">
      <c r="A130" s="101" t="s">
        <v>447</v>
      </c>
      <c r="B130" s="101" t="s">
        <v>319</v>
      </c>
      <c r="C130" s="108" t="s">
        <v>120</v>
      </c>
      <c r="D130" s="102">
        <v>0</v>
      </c>
      <c r="E130" s="101" t="s">
        <v>327</v>
      </c>
      <c r="F130" s="103">
        <v>46276.291666666664</v>
      </c>
      <c r="G130" s="103">
        <v>46277.625</v>
      </c>
    </row>
    <row r="131" spans="1:7" x14ac:dyDescent="0.35">
      <c r="A131" s="101" t="s">
        <v>448</v>
      </c>
      <c r="B131" s="101" t="s">
        <v>319</v>
      </c>
      <c r="C131" s="108" t="s">
        <v>121</v>
      </c>
      <c r="D131" s="102">
        <v>0</v>
      </c>
      <c r="E131" s="101" t="s">
        <v>327</v>
      </c>
      <c r="F131" s="103">
        <v>46276.291666666664</v>
      </c>
      <c r="G131" s="103">
        <v>46277.625</v>
      </c>
    </row>
    <row r="132" spans="1:7" x14ac:dyDescent="0.35">
      <c r="A132" s="101" t="s">
        <v>449</v>
      </c>
      <c r="B132" s="101" t="s">
        <v>319</v>
      </c>
      <c r="C132" s="108" t="s">
        <v>122</v>
      </c>
      <c r="D132" s="102">
        <v>0</v>
      </c>
      <c r="E132" s="101" t="s">
        <v>327</v>
      </c>
      <c r="F132" s="103">
        <v>46276.291666666664</v>
      </c>
      <c r="G132" s="103">
        <v>46277.625</v>
      </c>
    </row>
    <row r="133" spans="1:7" x14ac:dyDescent="0.35">
      <c r="A133" s="101" t="s">
        <v>450</v>
      </c>
      <c r="B133" s="101" t="s">
        <v>319</v>
      </c>
      <c r="C133" s="108" t="s">
        <v>131</v>
      </c>
      <c r="D133" s="102">
        <v>0</v>
      </c>
      <c r="E133" s="101" t="s">
        <v>327</v>
      </c>
      <c r="F133" s="103">
        <v>46276.291666666664</v>
      </c>
      <c r="G133" s="103">
        <v>46277.625</v>
      </c>
    </row>
    <row r="134" spans="1:7" x14ac:dyDescent="0.35">
      <c r="A134" s="101" t="s">
        <v>451</v>
      </c>
      <c r="B134" s="101" t="s">
        <v>319</v>
      </c>
      <c r="C134" s="108" t="s">
        <v>132</v>
      </c>
      <c r="D134" s="102">
        <v>0</v>
      </c>
      <c r="E134" s="101" t="s">
        <v>327</v>
      </c>
      <c r="F134" s="103">
        <v>46276.291666666664</v>
      </c>
      <c r="G134" s="103">
        <v>46277.625</v>
      </c>
    </row>
    <row r="135" spans="1:7" x14ac:dyDescent="0.35">
      <c r="A135" s="101" t="s">
        <v>452</v>
      </c>
      <c r="B135" s="101" t="s">
        <v>319</v>
      </c>
      <c r="C135" s="108" t="s">
        <v>133</v>
      </c>
      <c r="D135" s="102">
        <v>0</v>
      </c>
      <c r="E135" s="101" t="s">
        <v>327</v>
      </c>
      <c r="F135" s="103">
        <v>46276.291666666664</v>
      </c>
      <c r="G135" s="103">
        <v>46277.625</v>
      </c>
    </row>
    <row r="136" spans="1:7" x14ac:dyDescent="0.35">
      <c r="A136" s="101" t="s">
        <v>453</v>
      </c>
      <c r="B136" s="101" t="s">
        <v>319</v>
      </c>
      <c r="C136" s="108" t="s">
        <v>136</v>
      </c>
      <c r="D136" s="102">
        <v>0</v>
      </c>
      <c r="E136" s="101" t="s">
        <v>327</v>
      </c>
      <c r="F136" s="103">
        <v>46276.291666666664</v>
      </c>
      <c r="G136" s="103">
        <v>46277.625</v>
      </c>
    </row>
    <row r="137" spans="1:7" x14ac:dyDescent="0.35">
      <c r="A137" s="101" t="s">
        <v>454</v>
      </c>
      <c r="B137" s="101" t="s">
        <v>319</v>
      </c>
      <c r="C137" s="108" t="s">
        <v>137</v>
      </c>
      <c r="D137" s="102">
        <v>0</v>
      </c>
      <c r="E137" s="101" t="s">
        <v>327</v>
      </c>
      <c r="F137" s="103">
        <v>46276.291666666664</v>
      </c>
      <c r="G137" s="103">
        <v>46277.625</v>
      </c>
    </row>
    <row r="138" spans="1:7" x14ac:dyDescent="0.35">
      <c r="A138" s="101" t="s">
        <v>455</v>
      </c>
      <c r="B138" s="101" t="s">
        <v>319</v>
      </c>
      <c r="C138" s="108" t="s">
        <v>138</v>
      </c>
      <c r="D138" s="102">
        <v>0</v>
      </c>
      <c r="E138" s="101" t="s">
        <v>327</v>
      </c>
      <c r="F138" s="103">
        <v>46276.291666666664</v>
      </c>
      <c r="G138" s="103">
        <v>46277.625</v>
      </c>
    </row>
    <row r="139" spans="1:7" x14ac:dyDescent="0.35">
      <c r="A139" s="101" t="s">
        <v>456</v>
      </c>
      <c r="B139" s="101" t="s">
        <v>319</v>
      </c>
      <c r="C139" s="108" t="s">
        <v>139</v>
      </c>
      <c r="D139" s="102">
        <v>0</v>
      </c>
      <c r="E139" s="101" t="s">
        <v>288</v>
      </c>
      <c r="F139" s="103">
        <v>46277.625</v>
      </c>
      <c r="G139" s="103">
        <v>46278.583333333336</v>
      </c>
    </row>
    <row r="140" spans="1:7" x14ac:dyDescent="0.35">
      <c r="A140" s="101" t="s">
        <v>457</v>
      </c>
      <c r="B140" s="101" t="s">
        <v>319</v>
      </c>
      <c r="C140" s="108" t="s">
        <v>145</v>
      </c>
      <c r="D140" s="102">
        <v>0</v>
      </c>
      <c r="E140" s="101" t="s">
        <v>327</v>
      </c>
      <c r="F140" s="103">
        <v>46277.625</v>
      </c>
      <c r="G140" s="103">
        <v>46279.5</v>
      </c>
    </row>
    <row r="141" spans="1:7" x14ac:dyDescent="0.35">
      <c r="A141" s="101" t="s">
        <v>458</v>
      </c>
      <c r="B141" s="101" t="s">
        <v>319</v>
      </c>
      <c r="C141" s="108" t="s">
        <v>146</v>
      </c>
      <c r="D141" s="102">
        <v>0</v>
      </c>
      <c r="E141" s="101" t="s">
        <v>327</v>
      </c>
      <c r="F141" s="103">
        <v>46277.625</v>
      </c>
      <c r="G141" s="103">
        <v>46279.5</v>
      </c>
    </row>
    <row r="142" spans="1:7" x14ac:dyDescent="0.35">
      <c r="A142" s="101" t="s">
        <v>459</v>
      </c>
      <c r="B142" s="101" t="s">
        <v>319</v>
      </c>
      <c r="C142" s="108" t="s">
        <v>147</v>
      </c>
      <c r="D142" s="102">
        <v>0</v>
      </c>
      <c r="E142" s="101" t="s">
        <v>327</v>
      </c>
      <c r="F142" s="103">
        <v>46277.625</v>
      </c>
      <c r="G142" s="103">
        <v>46279.5</v>
      </c>
    </row>
    <row r="143" spans="1:7" x14ac:dyDescent="0.35">
      <c r="A143" s="101" t="s">
        <v>460</v>
      </c>
      <c r="B143" s="101" t="s">
        <v>319</v>
      </c>
      <c r="C143" s="108" t="s">
        <v>148</v>
      </c>
      <c r="D143" s="102">
        <v>0</v>
      </c>
      <c r="E143" s="101" t="s">
        <v>327</v>
      </c>
      <c r="F143" s="103">
        <v>46277.625</v>
      </c>
      <c r="G143" s="103">
        <v>46279.5</v>
      </c>
    </row>
    <row r="144" spans="1:7" x14ac:dyDescent="0.35">
      <c r="A144" s="101" t="s">
        <v>461</v>
      </c>
      <c r="B144" s="101" t="s">
        <v>319</v>
      </c>
      <c r="C144" s="108" t="s">
        <v>150</v>
      </c>
      <c r="D144" s="102">
        <v>0</v>
      </c>
      <c r="E144" s="101" t="s">
        <v>327</v>
      </c>
      <c r="F144" s="103">
        <v>46277.625</v>
      </c>
      <c r="G144" s="103">
        <v>46279.5</v>
      </c>
    </row>
    <row r="145" spans="1:7" x14ac:dyDescent="0.35">
      <c r="A145" s="101" t="s">
        <v>462</v>
      </c>
      <c r="B145" s="101" t="s">
        <v>319</v>
      </c>
      <c r="C145" s="108" t="s">
        <v>151</v>
      </c>
      <c r="D145" s="102">
        <v>0</v>
      </c>
      <c r="E145" s="101" t="s">
        <v>327</v>
      </c>
      <c r="F145" s="103">
        <v>46277.625</v>
      </c>
      <c r="G145" s="103">
        <v>46279.5</v>
      </c>
    </row>
    <row r="146" spans="1:7" x14ac:dyDescent="0.35">
      <c r="A146" s="101" t="s">
        <v>463</v>
      </c>
      <c r="B146" s="101" t="s">
        <v>319</v>
      </c>
      <c r="C146" s="108" t="s">
        <v>153</v>
      </c>
      <c r="D146" s="102">
        <v>0</v>
      </c>
      <c r="E146" s="101" t="s">
        <v>327</v>
      </c>
      <c r="F146" s="103">
        <v>46277.625</v>
      </c>
      <c r="G146" s="103">
        <v>46279.5</v>
      </c>
    </row>
    <row r="147" spans="1:7" x14ac:dyDescent="0.35">
      <c r="A147" s="101" t="s">
        <v>464</v>
      </c>
      <c r="B147" s="101" t="s">
        <v>319</v>
      </c>
      <c r="C147" s="108" t="s">
        <v>154</v>
      </c>
      <c r="D147" s="102">
        <v>0</v>
      </c>
      <c r="E147" s="101" t="s">
        <v>327</v>
      </c>
      <c r="F147" s="103">
        <v>46277.625</v>
      </c>
      <c r="G147" s="103">
        <v>46279.5</v>
      </c>
    </row>
    <row r="148" spans="1:7" x14ac:dyDescent="0.35">
      <c r="A148" s="101" t="s">
        <v>465</v>
      </c>
      <c r="B148" s="101" t="s">
        <v>319</v>
      </c>
      <c r="C148" s="108" t="s">
        <v>156</v>
      </c>
      <c r="D148" s="102">
        <v>0</v>
      </c>
      <c r="E148" s="101" t="s">
        <v>327</v>
      </c>
      <c r="F148" s="103">
        <v>46277.625</v>
      </c>
      <c r="G148" s="103">
        <v>46279.5</v>
      </c>
    </row>
    <row r="149" spans="1:7" x14ac:dyDescent="0.35">
      <c r="A149" s="101" t="s">
        <v>466</v>
      </c>
      <c r="B149" s="101" t="s">
        <v>319</v>
      </c>
      <c r="C149" s="108" t="s">
        <v>157</v>
      </c>
      <c r="D149" s="102">
        <v>0</v>
      </c>
      <c r="E149" s="101" t="s">
        <v>327</v>
      </c>
      <c r="F149" s="103">
        <v>46277.625</v>
      </c>
      <c r="G149" s="103">
        <v>46279.5</v>
      </c>
    </row>
    <row r="150" spans="1:7" x14ac:dyDescent="0.35">
      <c r="A150" s="101" t="s">
        <v>467</v>
      </c>
      <c r="B150" s="101" t="s">
        <v>319</v>
      </c>
      <c r="C150" s="108" t="s">
        <v>159</v>
      </c>
      <c r="D150" s="102">
        <v>0</v>
      </c>
      <c r="E150" s="101" t="s">
        <v>327</v>
      </c>
      <c r="F150" s="103">
        <v>46277.625</v>
      </c>
      <c r="G150" s="103">
        <v>46279.5</v>
      </c>
    </row>
    <row r="151" spans="1:7" x14ac:dyDescent="0.35">
      <c r="A151" s="101" t="s">
        <v>468</v>
      </c>
      <c r="B151" s="101" t="s">
        <v>319</v>
      </c>
      <c r="C151" s="108" t="s">
        <v>162</v>
      </c>
      <c r="D151" s="102">
        <v>0</v>
      </c>
      <c r="E151" s="101" t="s">
        <v>327</v>
      </c>
      <c r="F151" s="103">
        <v>46277.625</v>
      </c>
      <c r="G151" s="103">
        <v>46279.5</v>
      </c>
    </row>
    <row r="152" spans="1:7" x14ac:dyDescent="0.35">
      <c r="A152" s="101" t="s">
        <v>469</v>
      </c>
      <c r="B152" s="101" t="s">
        <v>314</v>
      </c>
      <c r="C152" s="108" t="s">
        <v>166</v>
      </c>
      <c r="D152" s="102">
        <v>0</v>
      </c>
      <c r="E152" s="101" t="s">
        <v>327</v>
      </c>
      <c r="F152" s="103">
        <v>46277.625</v>
      </c>
      <c r="G152" s="103">
        <v>46279.5</v>
      </c>
    </row>
    <row r="153" spans="1:7" x14ac:dyDescent="0.35">
      <c r="A153" s="101" t="s">
        <v>470</v>
      </c>
      <c r="B153" s="101" t="s">
        <v>314</v>
      </c>
      <c r="C153" s="108" t="s">
        <v>168</v>
      </c>
      <c r="D153" s="102">
        <v>0</v>
      </c>
      <c r="E153" s="101" t="s">
        <v>327</v>
      </c>
      <c r="F153" s="103">
        <v>46277.625</v>
      </c>
      <c r="G153" s="103">
        <v>46279.5</v>
      </c>
    </row>
    <row r="154" spans="1:7" x14ac:dyDescent="0.35">
      <c r="A154" s="101" t="s">
        <v>471</v>
      </c>
      <c r="B154" s="101" t="s">
        <v>314</v>
      </c>
      <c r="C154" s="108" t="s">
        <v>169</v>
      </c>
      <c r="D154" s="102">
        <v>0</v>
      </c>
      <c r="E154" s="101" t="s">
        <v>327</v>
      </c>
      <c r="F154" s="103">
        <v>46277.625</v>
      </c>
      <c r="G154" s="103">
        <v>46279.5</v>
      </c>
    </row>
    <row r="155" spans="1:7" x14ac:dyDescent="0.35">
      <c r="A155" s="101" t="s">
        <v>472</v>
      </c>
      <c r="B155" s="101" t="s">
        <v>314</v>
      </c>
      <c r="C155" s="108" t="s">
        <v>170</v>
      </c>
      <c r="D155" s="102">
        <v>0</v>
      </c>
      <c r="E155" s="101" t="s">
        <v>327</v>
      </c>
      <c r="F155" s="103">
        <v>46277.625</v>
      </c>
      <c r="G155" s="103">
        <v>46279.5</v>
      </c>
    </row>
    <row r="156" spans="1:7" x14ac:dyDescent="0.35">
      <c r="A156" s="101" t="s">
        <v>473</v>
      </c>
      <c r="B156" s="101" t="s">
        <v>314</v>
      </c>
      <c r="C156" s="108" t="s">
        <v>171</v>
      </c>
      <c r="D156" s="102">
        <v>0</v>
      </c>
      <c r="E156" s="101" t="s">
        <v>327</v>
      </c>
      <c r="F156" s="103">
        <v>46249.625</v>
      </c>
      <c r="G156" s="103">
        <v>46251.5</v>
      </c>
    </row>
    <row r="157" spans="1:7" x14ac:dyDescent="0.35">
      <c r="A157" s="101" t="s">
        <v>474</v>
      </c>
      <c r="B157" s="101" t="s">
        <v>314</v>
      </c>
      <c r="C157" s="108" t="s">
        <v>172</v>
      </c>
      <c r="D157" s="102">
        <v>0</v>
      </c>
      <c r="E157" s="101" t="s">
        <v>327</v>
      </c>
      <c r="F157" s="103">
        <v>46249.625</v>
      </c>
      <c r="G157" s="103">
        <v>46251.5</v>
      </c>
    </row>
    <row r="158" spans="1:7" x14ac:dyDescent="0.35">
      <c r="A158" s="101" t="s">
        <v>475</v>
      </c>
      <c r="B158" s="101" t="s">
        <v>314</v>
      </c>
      <c r="C158" s="108" t="s">
        <v>173</v>
      </c>
      <c r="D158" s="102">
        <v>0</v>
      </c>
      <c r="E158" s="101" t="s">
        <v>327</v>
      </c>
      <c r="F158" s="103">
        <v>46249.625</v>
      </c>
      <c r="G158" s="103">
        <v>46251.5</v>
      </c>
    </row>
    <row r="159" spans="1:7" x14ac:dyDescent="0.35">
      <c r="A159" s="101" t="s">
        <v>476</v>
      </c>
      <c r="B159" s="101" t="s">
        <v>314</v>
      </c>
      <c r="C159" s="108" t="s">
        <v>174</v>
      </c>
      <c r="D159" s="102">
        <v>0</v>
      </c>
      <c r="E159" s="101" t="s">
        <v>327</v>
      </c>
      <c r="F159" s="103">
        <v>46249.625</v>
      </c>
      <c r="G159" s="103">
        <v>46251.5</v>
      </c>
    </row>
    <row r="160" spans="1:7" x14ac:dyDescent="0.35">
      <c r="A160" s="101" t="s">
        <v>477</v>
      </c>
      <c r="B160" s="101" t="s">
        <v>314</v>
      </c>
      <c r="C160" s="108" t="s">
        <v>175</v>
      </c>
      <c r="D160" s="102">
        <v>0</v>
      </c>
      <c r="E160" s="101" t="s">
        <v>327</v>
      </c>
      <c r="F160" s="103">
        <v>46249.625</v>
      </c>
      <c r="G160" s="103">
        <v>46251.5</v>
      </c>
    </row>
    <row r="161" spans="1:7" x14ac:dyDescent="0.35">
      <c r="A161" s="101" t="s">
        <v>478</v>
      </c>
      <c r="B161" s="101" t="s">
        <v>314</v>
      </c>
      <c r="C161" s="108" t="s">
        <v>177</v>
      </c>
      <c r="D161" s="102">
        <v>0</v>
      </c>
      <c r="E161" s="101" t="s">
        <v>327</v>
      </c>
      <c r="F161" s="103">
        <v>46249.625</v>
      </c>
      <c r="G161" s="103">
        <v>46251.5</v>
      </c>
    </row>
    <row r="162" spans="1:7" x14ac:dyDescent="0.35">
      <c r="A162" s="101" t="s">
        <v>479</v>
      </c>
      <c r="B162" s="101" t="s">
        <v>314</v>
      </c>
      <c r="C162" s="108" t="s">
        <v>178</v>
      </c>
      <c r="D162" s="102">
        <v>0</v>
      </c>
      <c r="E162" s="101" t="s">
        <v>327</v>
      </c>
      <c r="F162" s="103">
        <v>46249.625</v>
      </c>
      <c r="G162" s="103">
        <v>46251.5</v>
      </c>
    </row>
    <row r="163" spans="1:7" x14ac:dyDescent="0.35">
      <c r="A163" s="101" t="s">
        <v>480</v>
      </c>
      <c r="B163" s="101" t="s">
        <v>314</v>
      </c>
      <c r="C163" s="105" t="s">
        <v>515</v>
      </c>
      <c r="D163" s="102">
        <v>0</v>
      </c>
      <c r="E163" s="101" t="s">
        <v>481</v>
      </c>
      <c r="F163" s="103">
        <v>46280.291666666664</v>
      </c>
      <c r="G163" s="103">
        <v>46286.375</v>
      </c>
    </row>
    <row r="164" spans="1:7" x14ac:dyDescent="0.35">
      <c r="A164" s="101" t="s">
        <v>482</v>
      </c>
      <c r="B164" s="101" t="s">
        <v>319</v>
      </c>
      <c r="C164" s="108" t="s">
        <v>27</v>
      </c>
      <c r="D164" s="102">
        <v>0</v>
      </c>
      <c r="E164" s="101" t="s">
        <v>327</v>
      </c>
      <c r="F164" s="103">
        <v>46280.291666666664</v>
      </c>
      <c r="G164" s="103">
        <v>46281.625</v>
      </c>
    </row>
    <row r="165" spans="1:7" x14ac:dyDescent="0.35">
      <c r="A165" s="101" t="s">
        <v>483</v>
      </c>
      <c r="B165" s="101" t="s">
        <v>319</v>
      </c>
      <c r="C165" s="108" t="s">
        <v>28</v>
      </c>
      <c r="D165" s="102">
        <v>0</v>
      </c>
      <c r="E165" s="101" t="s">
        <v>288</v>
      </c>
      <c r="F165" s="103">
        <v>46280.666666666664</v>
      </c>
      <c r="G165" s="103">
        <v>46281.625</v>
      </c>
    </row>
    <row r="166" spans="1:7" x14ac:dyDescent="0.35">
      <c r="A166" s="101" t="s">
        <v>484</v>
      </c>
      <c r="B166" s="101" t="s">
        <v>319</v>
      </c>
      <c r="C166" s="108" t="s">
        <v>29</v>
      </c>
      <c r="D166" s="102">
        <v>0</v>
      </c>
      <c r="E166" s="101" t="s">
        <v>288</v>
      </c>
      <c r="F166" s="103">
        <v>46280.666666666664</v>
      </c>
      <c r="G166" s="103">
        <v>46281.625</v>
      </c>
    </row>
    <row r="167" spans="1:7" x14ac:dyDescent="0.35">
      <c r="A167" s="101" t="s">
        <v>485</v>
      </c>
      <c r="B167" s="101" t="s">
        <v>319</v>
      </c>
      <c r="C167" s="108" t="s">
        <v>30</v>
      </c>
      <c r="D167" s="102">
        <v>0</v>
      </c>
      <c r="E167" s="101" t="s">
        <v>288</v>
      </c>
      <c r="F167" s="103">
        <v>46280.666666666664</v>
      </c>
      <c r="G167" s="103">
        <v>46281.625</v>
      </c>
    </row>
    <row r="168" spans="1:7" x14ac:dyDescent="0.35">
      <c r="A168" s="101" t="s">
        <v>486</v>
      </c>
      <c r="B168" s="101" t="s">
        <v>319</v>
      </c>
      <c r="C168" s="108" t="s">
        <v>31</v>
      </c>
      <c r="D168" s="102">
        <v>0</v>
      </c>
      <c r="E168" s="101" t="s">
        <v>288</v>
      </c>
      <c r="F168" s="103">
        <v>46281.625</v>
      </c>
      <c r="G168" s="103">
        <v>46282.583333333336</v>
      </c>
    </row>
    <row r="169" spans="1:7" x14ac:dyDescent="0.35">
      <c r="A169" s="101" t="s">
        <v>487</v>
      </c>
      <c r="B169" s="101" t="s">
        <v>319</v>
      </c>
      <c r="C169" s="108" t="s">
        <v>32</v>
      </c>
      <c r="D169" s="102">
        <v>0</v>
      </c>
      <c r="E169" s="101" t="s">
        <v>288</v>
      </c>
      <c r="F169" s="103">
        <v>46281.625</v>
      </c>
      <c r="G169" s="103">
        <v>46282.583333333336</v>
      </c>
    </row>
    <row r="170" spans="1:7" x14ac:dyDescent="0.35">
      <c r="A170" s="101" t="s">
        <v>488</v>
      </c>
      <c r="B170" s="101" t="s">
        <v>319</v>
      </c>
      <c r="C170" s="108" t="s">
        <v>33</v>
      </c>
      <c r="D170" s="102">
        <v>0</v>
      </c>
      <c r="E170" s="101" t="s">
        <v>288</v>
      </c>
      <c r="F170" s="103">
        <v>46281.625</v>
      </c>
      <c r="G170" s="103">
        <v>46282.583333333336</v>
      </c>
    </row>
    <row r="171" spans="1:7" x14ac:dyDescent="0.35">
      <c r="A171" s="101" t="s">
        <v>489</v>
      </c>
      <c r="B171" s="101" t="s">
        <v>319</v>
      </c>
      <c r="C171" s="108" t="s">
        <v>34</v>
      </c>
      <c r="D171" s="102">
        <v>0</v>
      </c>
      <c r="E171" s="101" t="s">
        <v>288</v>
      </c>
      <c r="F171" s="103">
        <v>46281.625</v>
      </c>
      <c r="G171" s="103">
        <v>46282.583333333336</v>
      </c>
    </row>
    <row r="172" spans="1:7" x14ac:dyDescent="0.35">
      <c r="A172" s="101" t="s">
        <v>490</v>
      </c>
      <c r="B172" s="101" t="s">
        <v>319</v>
      </c>
      <c r="C172" s="108" t="s">
        <v>35</v>
      </c>
      <c r="D172" s="102">
        <v>0</v>
      </c>
      <c r="E172" s="101" t="s">
        <v>288</v>
      </c>
      <c r="F172" s="103">
        <v>46282.583333333336</v>
      </c>
      <c r="G172" s="103">
        <v>46283.5</v>
      </c>
    </row>
    <row r="173" spans="1:7" x14ac:dyDescent="0.35">
      <c r="A173" s="101" t="s">
        <v>491</v>
      </c>
      <c r="B173" s="101" t="s">
        <v>319</v>
      </c>
      <c r="C173" s="108" t="s">
        <v>36</v>
      </c>
      <c r="D173" s="102">
        <v>0</v>
      </c>
      <c r="E173" s="101" t="s">
        <v>288</v>
      </c>
      <c r="F173" s="103">
        <v>46282.583333333336</v>
      </c>
      <c r="G173" s="103">
        <v>46283.5</v>
      </c>
    </row>
    <row r="174" spans="1:7" x14ac:dyDescent="0.35">
      <c r="A174" s="101" t="s">
        <v>492</v>
      </c>
      <c r="B174" s="101" t="s">
        <v>319</v>
      </c>
      <c r="C174" s="108" t="s">
        <v>37</v>
      </c>
      <c r="D174" s="102">
        <v>0</v>
      </c>
      <c r="E174" s="101" t="s">
        <v>288</v>
      </c>
      <c r="F174" s="103">
        <v>46282.583333333336</v>
      </c>
      <c r="G174" s="103">
        <v>46283.5</v>
      </c>
    </row>
    <row r="175" spans="1:7" x14ac:dyDescent="0.35">
      <c r="A175" s="101" t="s">
        <v>493</v>
      </c>
      <c r="B175" s="101" t="s">
        <v>319</v>
      </c>
      <c r="C175" s="108" t="s">
        <v>38</v>
      </c>
      <c r="D175" s="102">
        <v>0</v>
      </c>
      <c r="E175" s="101" t="s">
        <v>288</v>
      </c>
      <c r="F175" s="103">
        <v>46282.583333333336</v>
      </c>
      <c r="G175" s="103">
        <v>46283.5</v>
      </c>
    </row>
    <row r="176" spans="1:7" x14ac:dyDescent="0.35">
      <c r="A176" s="101" t="s">
        <v>494</v>
      </c>
      <c r="B176" s="101" t="s">
        <v>319</v>
      </c>
      <c r="C176" s="108" t="s">
        <v>39</v>
      </c>
      <c r="D176" s="102">
        <v>0</v>
      </c>
      <c r="E176" s="101" t="s">
        <v>288</v>
      </c>
      <c r="F176" s="103">
        <v>46282.583333333336</v>
      </c>
      <c r="G176" s="103">
        <v>46283.5</v>
      </c>
    </row>
    <row r="177" spans="1:7" x14ac:dyDescent="0.35">
      <c r="A177" s="101" t="s">
        <v>495</v>
      </c>
      <c r="B177" s="101" t="s">
        <v>319</v>
      </c>
      <c r="C177" s="108" t="s">
        <v>41</v>
      </c>
      <c r="D177" s="102">
        <v>0</v>
      </c>
      <c r="E177" s="101" t="s">
        <v>288</v>
      </c>
      <c r="F177" s="103">
        <v>46283.541666666664</v>
      </c>
      <c r="G177" s="103">
        <v>46284.458333333336</v>
      </c>
    </row>
    <row r="178" spans="1:7" x14ac:dyDescent="0.35">
      <c r="A178" s="101" t="s">
        <v>496</v>
      </c>
      <c r="B178" s="101" t="s">
        <v>319</v>
      </c>
      <c r="C178" s="108" t="s">
        <v>57</v>
      </c>
      <c r="D178" s="102">
        <v>0</v>
      </c>
      <c r="E178" s="101" t="s">
        <v>327</v>
      </c>
      <c r="F178" s="103">
        <v>46283.541666666664</v>
      </c>
      <c r="G178" s="103">
        <v>46285.416666666664</v>
      </c>
    </row>
    <row r="179" spans="1:7" x14ac:dyDescent="0.35">
      <c r="A179" s="101" t="s">
        <v>497</v>
      </c>
      <c r="B179" s="101" t="s">
        <v>319</v>
      </c>
      <c r="C179" s="108" t="s">
        <v>58</v>
      </c>
      <c r="D179" s="102">
        <v>0</v>
      </c>
      <c r="E179" s="101" t="s">
        <v>327</v>
      </c>
      <c r="F179" s="103">
        <v>46283.541666666664</v>
      </c>
      <c r="G179" s="103">
        <v>46285.416666666664</v>
      </c>
    </row>
    <row r="180" spans="1:7" x14ac:dyDescent="0.35">
      <c r="A180" s="101" t="s">
        <v>498</v>
      </c>
      <c r="B180" s="101" t="s">
        <v>319</v>
      </c>
      <c r="C180" s="108" t="s">
        <v>60</v>
      </c>
      <c r="D180" s="102">
        <v>0</v>
      </c>
      <c r="E180" s="101" t="s">
        <v>327</v>
      </c>
      <c r="F180" s="103">
        <v>46283.541666666664</v>
      </c>
      <c r="G180" s="103">
        <v>46285.416666666664</v>
      </c>
    </row>
    <row r="181" spans="1:7" x14ac:dyDescent="0.35">
      <c r="A181" s="101" t="s">
        <v>499</v>
      </c>
      <c r="B181" s="101" t="s">
        <v>319</v>
      </c>
      <c r="C181" s="108" t="s">
        <v>61</v>
      </c>
      <c r="D181" s="102">
        <v>0</v>
      </c>
      <c r="E181" s="101" t="s">
        <v>327</v>
      </c>
      <c r="F181" s="103">
        <v>46283.541666666664</v>
      </c>
      <c r="G181" s="103">
        <v>46285.416666666664</v>
      </c>
    </row>
    <row r="182" spans="1:7" x14ac:dyDescent="0.35">
      <c r="A182" s="101" t="s">
        <v>500</v>
      </c>
      <c r="B182" s="101" t="s">
        <v>319</v>
      </c>
      <c r="C182" s="108" t="s">
        <v>91</v>
      </c>
      <c r="D182" s="102">
        <v>0</v>
      </c>
      <c r="E182" s="101" t="s">
        <v>288</v>
      </c>
      <c r="F182" s="103">
        <v>46285.416666666664</v>
      </c>
      <c r="G182" s="103">
        <v>46286.375</v>
      </c>
    </row>
    <row r="183" spans="1:7" x14ac:dyDescent="0.35">
      <c r="A183" s="101" t="s">
        <v>501</v>
      </c>
      <c r="B183" s="101" t="s">
        <v>314</v>
      </c>
      <c r="C183" s="108" t="s">
        <v>99</v>
      </c>
      <c r="D183" s="102">
        <v>0</v>
      </c>
      <c r="E183" s="101" t="s">
        <v>288</v>
      </c>
      <c r="F183" s="103">
        <v>46280.291666666664</v>
      </c>
      <c r="G183" s="103">
        <v>46280.666666666664</v>
      </c>
    </row>
    <row r="184" spans="1:7" x14ac:dyDescent="0.35">
      <c r="A184" s="101" t="s">
        <v>502</v>
      </c>
      <c r="B184" s="101" t="s">
        <v>314</v>
      </c>
      <c r="C184" s="108" t="s">
        <v>100</v>
      </c>
      <c r="D184" s="102">
        <v>0</v>
      </c>
      <c r="E184" s="101" t="s">
        <v>288</v>
      </c>
      <c r="F184" s="103">
        <v>46280.291666666664</v>
      </c>
      <c r="G184" s="103">
        <v>46280.666666666664</v>
      </c>
    </row>
    <row r="185" spans="1:7" x14ac:dyDescent="0.35">
      <c r="A185" s="101" t="s">
        <v>503</v>
      </c>
      <c r="B185" s="101" t="s">
        <v>314</v>
      </c>
      <c r="C185" s="108" t="s">
        <v>103</v>
      </c>
      <c r="D185" s="102">
        <v>0</v>
      </c>
      <c r="E185" s="101" t="s">
        <v>288</v>
      </c>
      <c r="F185" s="103">
        <v>46280.291666666664</v>
      </c>
      <c r="G185" s="103">
        <v>46280.666666666664</v>
      </c>
    </row>
    <row r="186" spans="1:7" x14ac:dyDescent="0.35">
      <c r="A186" s="101" t="s">
        <v>504</v>
      </c>
      <c r="B186" s="101" t="s">
        <v>314</v>
      </c>
      <c r="C186" s="108" t="s">
        <v>112</v>
      </c>
      <c r="D186" s="102">
        <v>0</v>
      </c>
      <c r="E186" s="101" t="s">
        <v>288</v>
      </c>
      <c r="F186" s="103">
        <v>46280.291666666664</v>
      </c>
      <c r="G186" s="103">
        <v>46280.666666666664</v>
      </c>
    </row>
    <row r="187" spans="1:7" x14ac:dyDescent="0.35">
      <c r="A187" s="101" t="s">
        <v>505</v>
      </c>
      <c r="B187" s="101" t="s">
        <v>314</v>
      </c>
      <c r="C187" s="108" t="s">
        <v>113</v>
      </c>
      <c r="D187" s="102">
        <v>0</v>
      </c>
      <c r="E187" s="101" t="s">
        <v>288</v>
      </c>
      <c r="F187" s="103">
        <v>46280.291666666664</v>
      </c>
      <c r="G187" s="103">
        <v>46280.666666666664</v>
      </c>
    </row>
    <row r="188" spans="1:7" x14ac:dyDescent="0.35">
      <c r="A188" s="101" t="s">
        <v>506</v>
      </c>
      <c r="B188" s="101" t="s">
        <v>314</v>
      </c>
      <c r="C188" s="108" t="s">
        <v>114</v>
      </c>
      <c r="D188" s="102">
        <v>0</v>
      </c>
      <c r="E188" s="101" t="s">
        <v>288</v>
      </c>
      <c r="F188" s="103">
        <v>46280.291666666664</v>
      </c>
      <c r="G188" s="103">
        <v>46280.666666666664</v>
      </c>
    </row>
    <row r="189" spans="1:7" x14ac:dyDescent="0.35">
      <c r="A189" s="101" t="s">
        <v>507</v>
      </c>
      <c r="B189" s="101" t="s">
        <v>314</v>
      </c>
      <c r="C189" s="107" t="s">
        <v>167</v>
      </c>
      <c r="D189" s="102">
        <v>0</v>
      </c>
      <c r="E189" s="101" t="s">
        <v>288</v>
      </c>
      <c r="F189" s="103">
        <v>46280.291666666664</v>
      </c>
      <c r="G189" s="103">
        <v>46280.666666666664</v>
      </c>
    </row>
  </sheetData>
  <autoFilter ref="A1:G189" xr:uid="{2D79B8AB-DDA7-4BC2-900F-59C83F6BE4EC}"/>
  <conditionalFormatting sqref="C1:C189">
    <cfRule type="duplicateValues" dxfId="5" priority="188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3067-3B94-4AFC-AA1A-24A4984C120D}">
  <dimension ref="A1:T1458"/>
  <sheetViews>
    <sheetView showGridLines="0" tabSelected="1" topLeftCell="A6" zoomScaleNormal="100" workbookViewId="0">
      <selection activeCell="B9" sqref="B9"/>
    </sheetView>
  </sheetViews>
  <sheetFormatPr defaultColWidth="8.81640625" defaultRowHeight="13" x14ac:dyDescent="0.35"/>
  <cols>
    <col min="1" max="1" width="8.81640625" style="6"/>
    <col min="2" max="2" width="14.453125" style="6" customWidth="1"/>
    <col min="3" max="3" width="21.54296875" style="6" customWidth="1"/>
    <col min="4" max="4" width="36.81640625" style="19" customWidth="1"/>
    <col min="5" max="5" width="21.08984375" style="6" customWidth="1"/>
    <col min="6" max="7" width="11.36328125" style="21" customWidth="1"/>
    <col min="8" max="8" width="17" style="6" customWidth="1"/>
    <col min="9" max="9" width="8.6328125" style="12" customWidth="1"/>
    <col min="10" max="10" width="20.08984375" style="11" customWidth="1"/>
    <col min="11" max="11" width="10.90625" style="12" customWidth="1"/>
    <col min="12" max="12" width="12.08984375" style="12" customWidth="1"/>
    <col min="13" max="13" width="14.90625" style="12" customWidth="1"/>
    <col min="14" max="14" width="16.1796875" style="12" customWidth="1"/>
    <col min="15" max="15" width="26.6328125" style="12" customWidth="1"/>
    <col min="16" max="16" width="14.453125" style="12" bestFit="1" customWidth="1"/>
    <col min="17" max="17" width="10.54296875" style="12" bestFit="1" customWidth="1"/>
    <col min="18" max="18" width="12" style="12" bestFit="1" customWidth="1"/>
    <col min="19" max="20" width="15.6328125" style="89" bestFit="1" customWidth="1"/>
    <col min="21" max="21" width="12" style="12" bestFit="1" customWidth="1"/>
    <col min="22" max="16384" width="8.81640625" style="12"/>
  </cols>
  <sheetData>
    <row r="1" spans="1:20" ht="14.4" customHeight="1" thickBot="1" x14ac:dyDescent="0.4">
      <c r="K1" s="171" t="s">
        <v>508</v>
      </c>
      <c r="L1" s="172"/>
      <c r="M1" s="172"/>
      <c r="N1" s="172"/>
      <c r="O1" s="173"/>
      <c r="P1" s="160" t="s">
        <v>523</v>
      </c>
      <c r="Q1" s="160"/>
      <c r="R1" s="160"/>
      <c r="S1" s="160"/>
    </row>
    <row r="2" spans="1:20" ht="14.4" customHeight="1" x14ac:dyDescent="0.35">
      <c r="K2" s="164" t="s">
        <v>521</v>
      </c>
      <c r="L2" s="165"/>
      <c r="M2" s="165"/>
      <c r="N2" s="166"/>
      <c r="O2" s="167" t="s">
        <v>522</v>
      </c>
      <c r="P2" s="110"/>
      <c r="Q2" s="110">
        <f>R3-P3</f>
        <v>14</v>
      </c>
      <c r="R2" s="110">
        <f>Q3-P3</f>
        <v>4</v>
      </c>
      <c r="S2" s="124">
        <f>R2/Q2</f>
        <v>0.2857142857142857</v>
      </c>
    </row>
    <row r="3" spans="1:20" x14ac:dyDescent="0.35">
      <c r="K3" s="117" t="s">
        <v>223</v>
      </c>
      <c r="L3" s="114" t="s">
        <v>228</v>
      </c>
      <c r="M3" s="114" t="s">
        <v>229</v>
      </c>
      <c r="N3" s="120" t="s">
        <v>230</v>
      </c>
      <c r="O3" s="168"/>
      <c r="P3" s="125">
        <v>46251</v>
      </c>
      <c r="Q3" s="125">
        <v>46255</v>
      </c>
      <c r="R3" s="125">
        <v>46265</v>
      </c>
      <c r="S3" s="125"/>
    </row>
    <row r="4" spans="1:20" x14ac:dyDescent="0.35">
      <c r="K4" s="118">
        <f>_xlfn.MAXIFS($H$9:$H$186,$I$9:$I$186,K3)</f>
        <v>46251.75</v>
      </c>
      <c r="L4" s="115">
        <f t="shared" ref="L4:N4" si="0">_xlfn.MAXIFS($H$9:$H$186,$I$9:$I$186,L3)</f>
        <v>46265.75</v>
      </c>
      <c r="M4" s="115">
        <f t="shared" si="0"/>
        <v>46280.75</v>
      </c>
      <c r="N4" s="121">
        <f t="shared" si="0"/>
        <v>46287.75</v>
      </c>
      <c r="O4" s="123">
        <f>S6</f>
        <v>0.36849940972424733</v>
      </c>
      <c r="P4" s="126">
        <f>SUMIFS(F9:F186,I9:I186,K3)</f>
        <v>6996.4533500000007</v>
      </c>
      <c r="Q4" s="127">
        <f>R4*S2</f>
        <v>2839.1085857142857</v>
      </c>
      <c r="R4" s="126">
        <f>SUMIFS(F9:F186,I9:I186,L3)</f>
        <v>9936.8800499999998</v>
      </c>
      <c r="S4" s="110"/>
      <c r="T4" s="12"/>
    </row>
    <row r="5" spans="1:20" x14ac:dyDescent="0.35">
      <c r="K5" s="161" t="s">
        <v>520</v>
      </c>
      <c r="L5" s="162"/>
      <c r="M5" s="162"/>
      <c r="N5" s="163"/>
      <c r="O5" s="169" t="s">
        <v>522</v>
      </c>
      <c r="P5" s="110"/>
      <c r="Q5" s="110"/>
      <c r="R5" s="127">
        <f>SUM(F9:F186)</f>
        <v>26690.84855000001</v>
      </c>
      <c r="S5" s="110"/>
      <c r="T5" s="12"/>
    </row>
    <row r="6" spans="1:20" ht="13.75" customHeight="1" x14ac:dyDescent="0.35">
      <c r="K6" s="119" t="s">
        <v>223</v>
      </c>
      <c r="L6" s="116" t="s">
        <v>228</v>
      </c>
      <c r="M6" s="116" t="s">
        <v>229</v>
      </c>
      <c r="N6" s="122" t="s">
        <v>230</v>
      </c>
      <c r="O6" s="169"/>
      <c r="P6" s="110"/>
      <c r="Q6" s="110"/>
      <c r="R6" s="127">
        <f>P4+Q4</f>
        <v>9835.5619357142859</v>
      </c>
      <c r="S6" s="128">
        <f>R6/R5</f>
        <v>0.36849940972424733</v>
      </c>
      <c r="T6" s="12"/>
    </row>
    <row r="7" spans="1:20" ht="27" customHeight="1" thickBot="1" x14ac:dyDescent="0.4">
      <c r="K7" s="143">
        <f>_xlfn.MAXIFS($M$9:$M$186,$I$9:$I$186,K6)</f>
        <v>46257.625</v>
      </c>
      <c r="L7" s="144">
        <f>_xlfn.MAXIFS($M$9:$M$186,$I$9:$I$186,L6)</f>
        <v>46267.666666666664</v>
      </c>
      <c r="M7" s="144">
        <f>_xlfn.MAXIFS($M$9:$M$186,$I$9:$I$186,M6)</f>
        <v>46279.5</v>
      </c>
      <c r="N7" s="145">
        <f>_xlfn.MAXIFS($M$9:$M$186,$I$9:$I$186,N6)</f>
        <v>46286.375</v>
      </c>
      <c r="O7" s="170"/>
      <c r="S7" s="12"/>
      <c r="T7" s="12"/>
    </row>
    <row r="8" spans="1:20" s="6" customFormat="1" ht="46" customHeight="1" thickBot="1" x14ac:dyDescent="0.4">
      <c r="A8" s="3" t="s">
        <v>179</v>
      </c>
      <c r="B8" s="3" t="s">
        <v>561</v>
      </c>
      <c r="C8" s="3" t="s">
        <v>0</v>
      </c>
      <c r="D8" s="4" t="s">
        <v>180</v>
      </c>
      <c r="E8" s="3" t="s">
        <v>181</v>
      </c>
      <c r="F8" s="22" t="s">
        <v>224</v>
      </c>
      <c r="G8" s="22" t="s">
        <v>219</v>
      </c>
      <c r="H8" s="5" t="s">
        <v>222</v>
      </c>
      <c r="I8" s="92" t="s">
        <v>218</v>
      </c>
      <c r="J8" s="152" t="s">
        <v>524</v>
      </c>
      <c r="K8" s="153" t="s">
        <v>516</v>
      </c>
      <c r="L8" s="154" t="s">
        <v>517</v>
      </c>
      <c r="M8" s="154" t="s">
        <v>518</v>
      </c>
      <c r="N8" s="155" t="s">
        <v>519</v>
      </c>
      <c r="O8" s="156">
        <f>SUM(O9:O186)/SUM(F9:F186)</f>
        <v>0.12682671036698828</v>
      </c>
      <c r="P8" s="157" t="s">
        <v>526</v>
      </c>
    </row>
    <row r="9" spans="1:20" s="11" customFormat="1" x14ac:dyDescent="0.35">
      <c r="A9" s="7">
        <v>1</v>
      </c>
      <c r="B9" s="7" t="inlineStr">
        <is>
          <t>1"-A1E-CF-4310A</t>
        </is>
      </c>
      <c r="C9" s="13" t="s">
        <v>1</v>
      </c>
      <c r="D9" s="8" t="s">
        <v>182</v>
      </c>
      <c r="E9" s="9" t="s">
        <v>183</v>
      </c>
      <c r="F9" s="20">
        <v>18.049999999999997</v>
      </c>
      <c r="G9" s="23">
        <v>16</v>
      </c>
      <c r="H9" s="10">
        <f t="shared" ref="H9:H40" si="1">VLOOKUP(D9,$D$195:$F$231,3,FALSE)</f>
        <v>46251.75</v>
      </c>
      <c r="I9" s="93" t="str">
        <f t="shared" ref="I9:I40" si="2">VLOOKUP(H9,$H$197:$I$200,2,FALSE)</f>
        <v>1º</v>
      </c>
      <c r="J9" s="146">
        <v>46254</v>
      </c>
      <c r="K9" s="147" t="str">
        <f>IF(VLOOKUP(C9,'Crono Furui'!$C$2:$C$189,1,FALSE)="","VERIFICAR","OK")</f>
        <v>OK</v>
      </c>
      <c r="L9" s="148">
        <f>VLOOKUP(C9,'Crono Furui'!$C:$G,2,FALSE)</f>
        <v>1</v>
      </c>
      <c r="M9" s="149">
        <f>VLOOKUP(C9,'Crono Furui'!$C:$G,5,FALSE)</f>
        <v>46247.375</v>
      </c>
      <c r="N9" s="150" t="str">
        <f>IF(M9&gt;H9=FALSE,"ATENDE",ROUNDUP(M9-H9,0))</f>
        <v>ATENDE</v>
      </c>
      <c r="O9" s="137">
        <f t="shared" ref="O9:O72" si="3">L9*F9</f>
        <v>18.049999999999997</v>
      </c>
      <c r="P9" s="151"/>
    </row>
    <row r="10" spans="1:20" s="11" customFormat="1" x14ac:dyDescent="0.35">
      <c r="A10" s="7">
        <v>2</v>
      </c>
      <c r="B10" s="7" t="inlineStr">
        <is>
          <t>1"-A3B-CWR-0612</t>
        </is>
      </c>
      <c r="C10" s="13" t="s">
        <v>2</v>
      </c>
      <c r="D10" s="8" t="s">
        <v>184</v>
      </c>
      <c r="E10" s="9" t="s">
        <v>185</v>
      </c>
      <c r="F10" s="20">
        <v>19.220400000000001</v>
      </c>
      <c r="G10" s="23">
        <v>8</v>
      </c>
      <c r="H10" s="10">
        <f t="shared" si="1"/>
        <v>46280.75</v>
      </c>
      <c r="I10" s="93" t="str">
        <f t="shared" si="2"/>
        <v>3º</v>
      </c>
      <c r="J10" s="141"/>
      <c r="K10" s="94" t="str">
        <f>IF(VLOOKUP(C10,'Crono Furui'!$C$2:$C$189,1,FALSE)="","VERIFICAR","OK")</f>
        <v>OK</v>
      </c>
      <c r="L10" s="91">
        <f>VLOOKUP(C10,'Crono Furui'!$C:$G,2,FALSE)</f>
        <v>0</v>
      </c>
      <c r="M10" s="90">
        <f>VLOOKUP(C10,'Crono Furui'!$C:$G,5,FALSE)</f>
        <v>46267.666666666664</v>
      </c>
      <c r="N10" s="111" t="str">
        <f t="shared" ref="N10:N73" si="4">IF(M10&gt;H10=FALSE,"ATENDE",ROUNDUP(M10-H10,0))</f>
        <v>ATENDE</v>
      </c>
      <c r="O10" s="134">
        <f t="shared" si="3"/>
        <v>0</v>
      </c>
      <c r="P10" s="138"/>
    </row>
    <row r="11" spans="1:20" s="11" customFormat="1" x14ac:dyDescent="0.35">
      <c r="A11" s="7">
        <v>3</v>
      </c>
      <c r="B11" s="7" t="inlineStr">
        <is>
          <t>1"-B1E-MR-4005A</t>
        </is>
      </c>
      <c r="C11" s="13" t="s">
        <v>3</v>
      </c>
      <c r="D11" s="8" t="s">
        <v>186</v>
      </c>
      <c r="E11" s="9" t="s">
        <v>183</v>
      </c>
      <c r="F11" s="20">
        <v>2.6249999999999996</v>
      </c>
      <c r="G11" s="23">
        <v>4</v>
      </c>
      <c r="H11" s="10">
        <f t="shared" si="1"/>
        <v>46251.75</v>
      </c>
      <c r="I11" s="93" t="str">
        <f t="shared" si="2"/>
        <v>1º</v>
      </c>
      <c r="J11" s="141">
        <v>46254</v>
      </c>
      <c r="K11" s="94" t="str">
        <f>IF(VLOOKUP(C11,'Crono Furui'!$C$2:$C$189,1,FALSE)="","VERIFICAR","OK")</f>
        <v>OK</v>
      </c>
      <c r="L11" s="91">
        <f>VLOOKUP(C11,'Crono Furui'!$C:$G,2,FALSE)</f>
        <v>0.6</v>
      </c>
      <c r="M11" s="90">
        <f>VLOOKUP(C11,'Crono Furui'!$C:$G,5,FALSE)</f>
        <v>46247.625</v>
      </c>
      <c r="N11" s="111" t="str">
        <f t="shared" si="4"/>
        <v>ATENDE</v>
      </c>
      <c r="O11" s="134">
        <f t="shared" si="3"/>
        <v>1.5749999999999997</v>
      </c>
      <c r="P11" s="138"/>
    </row>
    <row r="12" spans="1:20" s="11" customFormat="1" x14ac:dyDescent="0.35">
      <c r="A12" s="7">
        <v>4</v>
      </c>
      <c r="B12" s="7" t="inlineStr">
        <is>
          <t>1"-B1E-MR-4006A</t>
        </is>
      </c>
      <c r="C12" s="13" t="s">
        <v>4</v>
      </c>
      <c r="D12" s="8" t="s">
        <v>186</v>
      </c>
      <c r="E12" s="9" t="s">
        <v>183</v>
      </c>
      <c r="F12" s="20">
        <v>2.6249999999999996</v>
      </c>
      <c r="G12" s="23">
        <v>4</v>
      </c>
      <c r="H12" s="10">
        <f t="shared" si="1"/>
        <v>46251.75</v>
      </c>
      <c r="I12" s="93" t="str">
        <f t="shared" si="2"/>
        <v>1º</v>
      </c>
      <c r="J12" s="141">
        <v>46254</v>
      </c>
      <c r="K12" s="94" t="str">
        <f>IF(VLOOKUP(C12,'Crono Furui'!$C$2:$C$189,1,FALSE)="","VERIFICAR","OK")</f>
        <v>OK</v>
      </c>
      <c r="L12" s="91">
        <f>VLOOKUP(C12,'Crono Furui'!$C:$G,2,FALSE)</f>
        <v>0.57999999999999996</v>
      </c>
      <c r="M12" s="90">
        <f>VLOOKUP(C12,'Crono Furui'!$C:$G,5,FALSE)</f>
        <v>46250.583333333336</v>
      </c>
      <c r="N12" s="111" t="str">
        <f t="shared" si="4"/>
        <v>ATENDE</v>
      </c>
      <c r="O12" s="134">
        <f t="shared" si="3"/>
        <v>1.5224999999999997</v>
      </c>
      <c r="P12" s="138"/>
    </row>
    <row r="13" spans="1:20" s="11" customFormat="1" x14ac:dyDescent="0.35">
      <c r="A13" s="7">
        <v>5</v>
      </c>
      <c r="B13" s="7" t="inlineStr">
        <is>
          <t>1"-B1E-MR-4007A</t>
        </is>
      </c>
      <c r="C13" s="13" t="s">
        <v>5</v>
      </c>
      <c r="D13" s="8" t="s">
        <v>186</v>
      </c>
      <c r="E13" s="9" t="s">
        <v>183</v>
      </c>
      <c r="F13" s="20">
        <v>2.625</v>
      </c>
      <c r="G13" s="23">
        <v>4</v>
      </c>
      <c r="H13" s="10">
        <f t="shared" si="1"/>
        <v>46251.75</v>
      </c>
      <c r="I13" s="93" t="str">
        <f t="shared" si="2"/>
        <v>1º</v>
      </c>
      <c r="J13" s="141">
        <v>46254</v>
      </c>
      <c r="K13" s="94" t="str">
        <f>IF(VLOOKUP(C13,'Crono Furui'!$C$2:$C$189,1,FALSE)="","VERIFICAR","OK")</f>
        <v>OK</v>
      </c>
      <c r="L13" s="91">
        <f>VLOOKUP(C13,'Crono Furui'!$C:$G,2,FALSE)</f>
        <v>1</v>
      </c>
      <c r="M13" s="90">
        <f>VLOOKUP(C13,'Crono Furui'!$C:$G,5,FALSE)</f>
        <v>46250.583333333336</v>
      </c>
      <c r="N13" s="111" t="str">
        <f t="shared" si="4"/>
        <v>ATENDE</v>
      </c>
      <c r="O13" s="134">
        <f t="shared" si="3"/>
        <v>2.625</v>
      </c>
      <c r="P13" s="138"/>
    </row>
    <row r="14" spans="1:20" s="11" customFormat="1" x14ac:dyDescent="0.35">
      <c r="A14" s="7">
        <v>6</v>
      </c>
      <c r="B14" s="7" t="inlineStr">
        <is>
          <t>1"-B1E-MR-4008A</t>
        </is>
      </c>
      <c r="C14" s="13" t="s">
        <v>6</v>
      </c>
      <c r="D14" s="8" t="s">
        <v>186</v>
      </c>
      <c r="E14" s="9" t="s">
        <v>183</v>
      </c>
      <c r="F14" s="20">
        <v>2.625</v>
      </c>
      <c r="G14" s="23">
        <v>4</v>
      </c>
      <c r="H14" s="10">
        <f t="shared" si="1"/>
        <v>46251.75</v>
      </c>
      <c r="I14" s="93" t="str">
        <f t="shared" si="2"/>
        <v>1º</v>
      </c>
      <c r="J14" s="141">
        <v>46254</v>
      </c>
      <c r="K14" s="94" t="str">
        <f>IF(VLOOKUP(C14,'Crono Furui'!$C$2:$C$189,1,FALSE)="","VERIFICAR","OK")</f>
        <v>OK</v>
      </c>
      <c r="L14" s="91">
        <f>VLOOKUP(C14,'Crono Furui'!$C:$G,2,FALSE)</f>
        <v>1</v>
      </c>
      <c r="M14" s="90">
        <f>VLOOKUP(C14,'Crono Furui'!$C:$G,5,FALSE)</f>
        <v>46250.583333333336</v>
      </c>
      <c r="N14" s="111" t="str">
        <f t="shared" si="4"/>
        <v>ATENDE</v>
      </c>
      <c r="O14" s="134">
        <f t="shared" si="3"/>
        <v>2.625</v>
      </c>
      <c r="P14" s="138"/>
    </row>
    <row r="15" spans="1:20" s="11" customFormat="1" x14ac:dyDescent="0.35">
      <c r="A15" s="7">
        <v>7</v>
      </c>
      <c r="B15" s="7" t="inlineStr">
        <is>
          <t>1"-B1E-MR-4009A</t>
        </is>
      </c>
      <c r="C15" s="13" t="s">
        <v>7</v>
      </c>
      <c r="D15" s="8" t="s">
        <v>186</v>
      </c>
      <c r="E15" s="9" t="s">
        <v>183</v>
      </c>
      <c r="F15" s="20">
        <v>2.625</v>
      </c>
      <c r="G15" s="23">
        <v>4</v>
      </c>
      <c r="H15" s="10">
        <f t="shared" si="1"/>
        <v>46251.75</v>
      </c>
      <c r="I15" s="93" t="str">
        <f t="shared" si="2"/>
        <v>1º</v>
      </c>
      <c r="J15" s="141">
        <v>46254</v>
      </c>
      <c r="K15" s="94" t="str">
        <f>IF(VLOOKUP(C15,'Crono Furui'!$C$2:$C$189,1,FALSE)="","VERIFICAR","OK")</f>
        <v>OK</v>
      </c>
      <c r="L15" s="91">
        <f>VLOOKUP(C15,'Crono Furui'!$C:$G,2,FALSE)</f>
        <v>1</v>
      </c>
      <c r="M15" s="90">
        <f>VLOOKUP(C15,'Crono Furui'!$C:$G,5,FALSE)</f>
        <v>46250.583333333336</v>
      </c>
      <c r="N15" s="111" t="str">
        <f t="shared" si="4"/>
        <v>ATENDE</v>
      </c>
      <c r="O15" s="134">
        <f t="shared" si="3"/>
        <v>2.625</v>
      </c>
      <c r="P15" s="138"/>
    </row>
    <row r="16" spans="1:20" s="11" customFormat="1" x14ac:dyDescent="0.35">
      <c r="A16" s="7">
        <v>8</v>
      </c>
      <c r="B16" s="7" t="inlineStr">
        <is>
          <t>1"-B3B-LO-5002A</t>
        </is>
      </c>
      <c r="C16" s="13" t="s">
        <v>8</v>
      </c>
      <c r="D16" s="8" t="s">
        <v>187</v>
      </c>
      <c r="E16" s="9" t="s">
        <v>183</v>
      </c>
      <c r="F16" s="20">
        <v>14.769799999999998</v>
      </c>
      <c r="G16" s="23">
        <v>10</v>
      </c>
      <c r="H16" s="10">
        <f t="shared" si="1"/>
        <v>46265.75</v>
      </c>
      <c r="I16" s="93" t="str">
        <f t="shared" si="2"/>
        <v>2º</v>
      </c>
      <c r="J16" s="141"/>
      <c r="K16" s="94" t="str">
        <f>IF(VLOOKUP(C16,'Crono Furui'!$C$2:$C$189,1,FALSE)="","VERIFICAR","OK")</f>
        <v>OK</v>
      </c>
      <c r="L16" s="91">
        <f>VLOOKUP(C16,'Crono Furui'!$C:$G,2,FALSE)</f>
        <v>0</v>
      </c>
      <c r="M16" s="90">
        <f>VLOOKUP(C16,'Crono Furui'!$C:$G,5,FALSE)</f>
        <v>46259.625</v>
      </c>
      <c r="N16" s="111" t="str">
        <f t="shared" si="4"/>
        <v>ATENDE</v>
      </c>
      <c r="O16" s="134">
        <f t="shared" si="3"/>
        <v>0</v>
      </c>
      <c r="P16" s="138"/>
    </row>
    <row r="17" spans="1:16" s="11" customFormat="1" x14ac:dyDescent="0.35">
      <c r="A17" s="7">
        <v>9</v>
      </c>
      <c r="B17" s="7" t="inlineStr">
        <is>
          <t>1"-B3B-LO-5003A</t>
        </is>
      </c>
      <c r="C17" s="13" t="s">
        <v>9</v>
      </c>
      <c r="D17" s="8" t="s">
        <v>188</v>
      </c>
      <c r="E17" s="9" t="s">
        <v>183</v>
      </c>
      <c r="F17" s="20">
        <v>36.122400000000013</v>
      </c>
      <c r="G17" s="23">
        <v>31</v>
      </c>
      <c r="H17" s="10">
        <f t="shared" si="1"/>
        <v>46251.75</v>
      </c>
      <c r="I17" s="93" t="str">
        <f t="shared" si="2"/>
        <v>1º</v>
      </c>
      <c r="J17" s="141">
        <v>46254</v>
      </c>
      <c r="K17" s="94" t="str">
        <f>IF(VLOOKUP(C17,'Crono Furui'!$C$2:$C$189,1,FALSE)="","VERIFICAR","OK")</f>
        <v>OK</v>
      </c>
      <c r="L17" s="91">
        <f>VLOOKUP(C17,'Crono Furui'!$C:$G,2,FALSE)</f>
        <v>1</v>
      </c>
      <c r="M17" s="90">
        <f>VLOOKUP(C17,'Crono Furui'!$C:$G,5,FALSE)</f>
        <v>46250.583333333336</v>
      </c>
      <c r="N17" s="111" t="str">
        <f t="shared" si="4"/>
        <v>ATENDE</v>
      </c>
      <c r="O17" s="134">
        <f t="shared" si="3"/>
        <v>36.122400000000013</v>
      </c>
      <c r="P17" s="138"/>
    </row>
    <row r="18" spans="1:16" s="11" customFormat="1" x14ac:dyDescent="0.35">
      <c r="A18" s="7">
        <v>10</v>
      </c>
      <c r="B18" s="7" t="inlineStr">
        <is>
          <t>1"-B3B-LO-5004A</t>
        </is>
      </c>
      <c r="C18" s="13" t="s">
        <v>10</v>
      </c>
      <c r="D18" s="8" t="s">
        <v>187</v>
      </c>
      <c r="E18" s="9" t="s">
        <v>183</v>
      </c>
      <c r="F18" s="20">
        <v>35.0486</v>
      </c>
      <c r="G18" s="23">
        <v>12</v>
      </c>
      <c r="H18" s="10">
        <f t="shared" si="1"/>
        <v>46265.75</v>
      </c>
      <c r="I18" s="93" t="str">
        <f t="shared" si="2"/>
        <v>2º</v>
      </c>
      <c r="J18" s="141"/>
      <c r="K18" s="94" t="str">
        <f>IF(VLOOKUP(C18,'Crono Furui'!$C$2:$C$189,1,FALSE)="","VERIFICAR","OK")</f>
        <v>OK</v>
      </c>
      <c r="L18" s="91">
        <f>VLOOKUP(C18,'Crono Furui'!$C:$G,2,FALSE)</f>
        <v>0</v>
      </c>
      <c r="M18" s="90">
        <f>VLOOKUP(C18,'Crono Furui'!$C:$G,5,FALSE)</f>
        <v>46259.625</v>
      </c>
      <c r="N18" s="111" t="str">
        <f t="shared" si="4"/>
        <v>ATENDE</v>
      </c>
      <c r="O18" s="134">
        <f t="shared" si="3"/>
        <v>0</v>
      </c>
      <c r="P18" s="138"/>
    </row>
    <row r="19" spans="1:16" s="11" customFormat="1" x14ac:dyDescent="0.35">
      <c r="A19" s="7">
        <v>11</v>
      </c>
      <c r="B19" s="7" t="inlineStr">
        <is>
          <t>1"-B3B-LPG-LIT7301A</t>
        </is>
      </c>
      <c r="C19" s="13" t="s">
        <v>11</v>
      </c>
      <c r="D19" s="8" t="s">
        <v>189</v>
      </c>
      <c r="E19" s="9" t="s">
        <v>190</v>
      </c>
      <c r="F19" s="20">
        <v>3.1239999999999997</v>
      </c>
      <c r="G19" s="23">
        <v>2</v>
      </c>
      <c r="H19" s="10">
        <f t="shared" si="1"/>
        <v>46280.75</v>
      </c>
      <c r="I19" s="93" t="str">
        <f t="shared" si="2"/>
        <v>3º</v>
      </c>
      <c r="J19" s="141"/>
      <c r="K19" s="94" t="str">
        <f>IF(VLOOKUP(C19,'Crono Furui'!$C$2:$C$189,1,FALSE)="","VERIFICAR","OK")</f>
        <v>OK</v>
      </c>
      <c r="L19" s="91">
        <f>VLOOKUP(C19,'Crono Furui'!$C:$G,2,FALSE)</f>
        <v>0</v>
      </c>
      <c r="M19" s="90">
        <f>VLOOKUP(C19,'Crono Furui'!$C:$G,5,FALSE)</f>
        <v>46268.666666666664</v>
      </c>
      <c r="N19" s="111" t="str">
        <f t="shared" si="4"/>
        <v>ATENDE</v>
      </c>
      <c r="O19" s="134">
        <f t="shared" si="3"/>
        <v>0</v>
      </c>
      <c r="P19" s="138"/>
    </row>
    <row r="20" spans="1:16" s="11" customFormat="1" x14ac:dyDescent="0.35">
      <c r="A20" s="7">
        <v>12</v>
      </c>
      <c r="B20" s="7" t="inlineStr">
        <is>
          <t>1"-B3B-LPG-LIT7301B</t>
        </is>
      </c>
      <c r="C20" s="13" t="s">
        <v>12</v>
      </c>
      <c r="D20" s="8" t="s">
        <v>189</v>
      </c>
      <c r="E20" s="9" t="s">
        <v>190</v>
      </c>
      <c r="F20" s="20">
        <v>3.1239999999999997</v>
      </c>
      <c r="G20" s="23">
        <v>2</v>
      </c>
      <c r="H20" s="10">
        <f t="shared" si="1"/>
        <v>46280.75</v>
      </c>
      <c r="I20" s="93" t="str">
        <f t="shared" si="2"/>
        <v>3º</v>
      </c>
      <c r="J20" s="141"/>
      <c r="K20" s="94" t="str">
        <f>IF(VLOOKUP(C20,'Crono Furui'!$C$2:$C$189,1,FALSE)="","VERIFICAR","OK")</f>
        <v>OK</v>
      </c>
      <c r="L20" s="91">
        <f>VLOOKUP(C20,'Crono Furui'!$C:$G,2,FALSE)</f>
        <v>0</v>
      </c>
      <c r="M20" s="90">
        <f>VLOOKUP(C20,'Crono Furui'!$C:$G,5,FALSE)</f>
        <v>46268.666666666664</v>
      </c>
      <c r="N20" s="111" t="str">
        <f t="shared" si="4"/>
        <v>ATENDE</v>
      </c>
      <c r="O20" s="134">
        <f t="shared" si="3"/>
        <v>0</v>
      </c>
      <c r="P20" s="138"/>
    </row>
    <row r="21" spans="1:16" s="11" customFormat="1" x14ac:dyDescent="0.35">
      <c r="A21" s="7">
        <v>13</v>
      </c>
      <c r="B21" s="7" t="inlineStr">
        <is>
          <t>1"-D1E-LPG-4305A</t>
        </is>
      </c>
      <c r="C21" s="13" t="s">
        <v>13</v>
      </c>
      <c r="D21" s="8" t="s">
        <v>186</v>
      </c>
      <c r="E21" s="9" t="s">
        <v>183</v>
      </c>
      <c r="F21" s="20">
        <v>17.197199999999999</v>
      </c>
      <c r="G21" s="23">
        <v>8</v>
      </c>
      <c r="H21" s="10">
        <f t="shared" si="1"/>
        <v>46251.75</v>
      </c>
      <c r="I21" s="93" t="str">
        <f t="shared" si="2"/>
        <v>1º</v>
      </c>
      <c r="J21" s="141">
        <v>46254</v>
      </c>
      <c r="K21" s="94" t="str">
        <f>IF(VLOOKUP(C21,'Crono Furui'!$C$2:$C$189,1,FALSE)="","VERIFICAR","OK")</f>
        <v>OK</v>
      </c>
      <c r="L21" s="91">
        <f>VLOOKUP(C21,'Crono Furui'!$C:$G,2,FALSE)</f>
        <v>1</v>
      </c>
      <c r="M21" s="90">
        <f>VLOOKUP(C21,'Crono Furui'!$C:$G,5,FALSE)</f>
        <v>46250.583333333336</v>
      </c>
      <c r="N21" s="111" t="str">
        <f t="shared" si="4"/>
        <v>ATENDE</v>
      </c>
      <c r="O21" s="134">
        <f t="shared" si="3"/>
        <v>17.197199999999999</v>
      </c>
      <c r="P21" s="138"/>
    </row>
    <row r="22" spans="1:16" s="11" customFormat="1" x14ac:dyDescent="0.35">
      <c r="A22" s="7">
        <v>14</v>
      </c>
      <c r="B22" s="7" t="inlineStr">
        <is>
          <t>1"-D1E-LPG-4308A</t>
        </is>
      </c>
      <c r="C22" s="13" t="s">
        <v>14</v>
      </c>
      <c r="D22" s="8" t="s">
        <v>182</v>
      </c>
      <c r="E22" s="9" t="s">
        <v>183</v>
      </c>
      <c r="F22" s="20">
        <v>28.1448</v>
      </c>
      <c r="G22" s="23">
        <v>10</v>
      </c>
      <c r="H22" s="10">
        <f t="shared" si="1"/>
        <v>46251.75</v>
      </c>
      <c r="I22" s="93" t="str">
        <f t="shared" si="2"/>
        <v>1º</v>
      </c>
      <c r="J22" s="141">
        <v>46254</v>
      </c>
      <c r="K22" s="94" t="str">
        <f>IF(VLOOKUP(C22,'Crono Furui'!$C$2:$C$189,1,FALSE)="","VERIFICAR","OK")</f>
        <v>OK</v>
      </c>
      <c r="L22" s="91">
        <f>VLOOKUP(C22,'Crono Furui'!$C:$G,2,FALSE)</f>
        <v>1</v>
      </c>
      <c r="M22" s="90">
        <f>VLOOKUP(C22,'Crono Furui'!$C:$G,5,FALSE)</f>
        <v>46250.583333333336</v>
      </c>
      <c r="N22" s="111" t="str">
        <f t="shared" si="4"/>
        <v>ATENDE</v>
      </c>
      <c r="O22" s="134">
        <f t="shared" si="3"/>
        <v>28.1448</v>
      </c>
      <c r="P22" s="138"/>
    </row>
    <row r="23" spans="1:16" s="11" customFormat="1" x14ac:dyDescent="0.35">
      <c r="A23" s="7">
        <v>15</v>
      </c>
      <c r="B23" s="7" t="inlineStr">
        <is>
          <t>1"-D1E-NG-4001A</t>
        </is>
      </c>
      <c r="C23" s="13" t="s">
        <v>15</v>
      </c>
      <c r="D23" s="8" t="s">
        <v>186</v>
      </c>
      <c r="E23" s="9" t="s">
        <v>183</v>
      </c>
      <c r="F23" s="20">
        <v>43.192800000000005</v>
      </c>
      <c r="G23" s="23">
        <v>22</v>
      </c>
      <c r="H23" s="10">
        <f t="shared" si="1"/>
        <v>46251.75</v>
      </c>
      <c r="I23" s="93" t="str">
        <f t="shared" si="2"/>
        <v>1º</v>
      </c>
      <c r="J23" s="141">
        <v>46254</v>
      </c>
      <c r="K23" s="94" t="str">
        <f>IF(VLOOKUP(C23,'Crono Furui'!$C$2:$C$189,1,FALSE)="","VERIFICAR","OK")</f>
        <v>OK</v>
      </c>
      <c r="L23" s="91">
        <f>VLOOKUP(C23,'Crono Furui'!$C:$G,2,FALSE)</f>
        <v>1</v>
      </c>
      <c r="M23" s="90">
        <f>VLOOKUP(C23,'Crono Furui'!$C:$G,5,FALSE)</f>
        <v>46250.583333333336</v>
      </c>
      <c r="N23" s="111" t="str">
        <f t="shared" si="4"/>
        <v>ATENDE</v>
      </c>
      <c r="O23" s="134">
        <f t="shared" si="3"/>
        <v>43.192800000000005</v>
      </c>
      <c r="P23" s="138"/>
    </row>
    <row r="24" spans="1:16" s="11" customFormat="1" x14ac:dyDescent="0.35">
      <c r="A24" s="7">
        <v>16</v>
      </c>
      <c r="B24" s="7" t="inlineStr">
        <is>
          <t>1"-D3B-NG-3105A</t>
        </is>
      </c>
      <c r="C24" s="13" t="s">
        <v>16</v>
      </c>
      <c r="D24" s="8" t="s">
        <v>188</v>
      </c>
      <c r="E24" s="9" t="s">
        <v>183</v>
      </c>
      <c r="F24" s="20">
        <v>22.364000000000001</v>
      </c>
      <c r="G24" s="23">
        <v>24</v>
      </c>
      <c r="H24" s="10">
        <f t="shared" si="1"/>
        <v>46251.75</v>
      </c>
      <c r="I24" s="93" t="str">
        <f t="shared" si="2"/>
        <v>1º</v>
      </c>
      <c r="J24" s="141" t="s">
        <v>560</v>
      </c>
      <c r="K24" s="130" t="str">
        <f>IF(VLOOKUP(C24,'Crono Furui'!$C$2:$C$189,1,FALSE)="","VERIFICAR","OK")</f>
        <v>OK</v>
      </c>
      <c r="L24" s="131">
        <f>VLOOKUP(C24,'Crono Furui'!$C:$G,2,FALSE)</f>
        <v>1</v>
      </c>
      <c r="M24" s="132">
        <f>VLOOKUP(C24,'Crono Furui'!$C:$G,5,FALSE)</f>
        <v>46250.583333333336</v>
      </c>
      <c r="N24" s="133" t="str">
        <f t="shared" si="4"/>
        <v>ATENDE</v>
      </c>
      <c r="O24" s="135">
        <f t="shared" si="3"/>
        <v>22.364000000000001</v>
      </c>
      <c r="P24" s="139" t="s">
        <v>525</v>
      </c>
    </row>
    <row r="25" spans="1:16" s="11" customFormat="1" x14ac:dyDescent="0.35">
      <c r="A25" s="7">
        <v>17</v>
      </c>
      <c r="B25" s="7" t="inlineStr">
        <is>
          <t>1.1/2"-A3B-CWR-0609</t>
        </is>
      </c>
      <c r="C25" s="13" t="s">
        <v>17</v>
      </c>
      <c r="D25" s="8" t="s">
        <v>184</v>
      </c>
      <c r="E25" s="9" t="s">
        <v>185</v>
      </c>
      <c r="F25" s="20">
        <v>18</v>
      </c>
      <c r="G25" s="23">
        <v>16</v>
      </c>
      <c r="H25" s="10">
        <f t="shared" si="1"/>
        <v>46280.75</v>
      </c>
      <c r="I25" s="93" t="str">
        <f t="shared" si="2"/>
        <v>3º</v>
      </c>
      <c r="J25" s="141"/>
      <c r="K25" s="94" t="str">
        <f>IF(VLOOKUP(C25,'Crono Furui'!$C$2:$C$189,1,FALSE)="","VERIFICAR","OK")</f>
        <v>OK</v>
      </c>
      <c r="L25" s="91">
        <f>VLOOKUP(C25,'Crono Furui'!$C:$G,2,FALSE)</f>
        <v>0</v>
      </c>
      <c r="M25" s="90">
        <f>VLOOKUP(C25,'Crono Furui'!$C:$G,5,FALSE)</f>
        <v>46268.666666666664</v>
      </c>
      <c r="N25" s="111" t="str">
        <f t="shared" si="4"/>
        <v>ATENDE</v>
      </c>
      <c r="O25" s="134">
        <f t="shared" si="3"/>
        <v>0</v>
      </c>
      <c r="P25" s="138"/>
    </row>
    <row r="26" spans="1:16" s="11" customFormat="1" x14ac:dyDescent="0.35">
      <c r="A26" s="7">
        <v>18</v>
      </c>
      <c r="B26" s="7" t="inlineStr">
        <is>
          <t>1.1/2"-A3B-CWS-0601</t>
        </is>
      </c>
      <c r="C26" s="13" t="s">
        <v>18</v>
      </c>
      <c r="D26" s="8" t="s">
        <v>184</v>
      </c>
      <c r="E26" s="9" t="s">
        <v>185</v>
      </c>
      <c r="F26" s="20">
        <v>18</v>
      </c>
      <c r="G26" s="23">
        <v>16</v>
      </c>
      <c r="H26" s="10">
        <f t="shared" si="1"/>
        <v>46280.75</v>
      </c>
      <c r="I26" s="93" t="str">
        <f t="shared" si="2"/>
        <v>3º</v>
      </c>
      <c r="J26" s="141"/>
      <c r="K26" s="94" t="str">
        <f>IF(VLOOKUP(C26,'Crono Furui'!$C$2:$C$189,1,FALSE)="","VERIFICAR","OK")</f>
        <v>OK</v>
      </c>
      <c r="L26" s="91">
        <f>VLOOKUP(C26,'Crono Furui'!$C:$G,2,FALSE)</f>
        <v>0</v>
      </c>
      <c r="M26" s="90">
        <f>VLOOKUP(C26,'Crono Furui'!$C:$G,5,FALSE)</f>
        <v>46268.666666666664</v>
      </c>
      <c r="N26" s="111" t="str">
        <f t="shared" si="4"/>
        <v>ATENDE</v>
      </c>
      <c r="O26" s="134">
        <f t="shared" si="3"/>
        <v>0</v>
      </c>
      <c r="P26" s="138"/>
    </row>
    <row r="27" spans="1:16" s="11" customFormat="1" x14ac:dyDescent="0.35">
      <c r="A27" s="7">
        <v>19</v>
      </c>
      <c r="B27" s="7" t="inlineStr">
        <is>
          <t>1/2"-A3B-CWS-0607</t>
        </is>
      </c>
      <c r="C27" s="13" t="s">
        <v>19</v>
      </c>
      <c r="D27" s="8" t="s">
        <v>184</v>
      </c>
      <c r="E27" s="9" t="s">
        <v>185</v>
      </c>
      <c r="F27" s="20">
        <v>8</v>
      </c>
      <c r="G27" s="23">
        <v>6</v>
      </c>
      <c r="H27" s="10">
        <f t="shared" si="1"/>
        <v>46280.75</v>
      </c>
      <c r="I27" s="93" t="str">
        <f t="shared" si="2"/>
        <v>3º</v>
      </c>
      <c r="J27" s="141"/>
      <c r="K27" s="94" t="str">
        <f>IF(VLOOKUP(C27,'Crono Furui'!$C$2:$C$189,1,FALSE)="","VERIFICAR","OK")</f>
        <v>OK</v>
      </c>
      <c r="L27" s="91">
        <f>VLOOKUP(C27,'Crono Furui'!$C:$G,2,FALSE)</f>
        <v>0</v>
      </c>
      <c r="M27" s="90">
        <f>VLOOKUP(C27,'Crono Furui'!$C:$G,5,FALSE)</f>
        <v>46268.666666666664</v>
      </c>
      <c r="N27" s="111" t="str">
        <f t="shared" si="4"/>
        <v>ATENDE</v>
      </c>
      <c r="O27" s="134">
        <f t="shared" si="3"/>
        <v>0</v>
      </c>
      <c r="P27" s="138"/>
    </row>
    <row r="28" spans="1:16" s="11" customFormat="1" x14ac:dyDescent="0.35">
      <c r="A28" s="7">
        <v>20</v>
      </c>
      <c r="B28" s="7" t="inlineStr">
        <is>
          <t>1/2"-A3B-CWS-0608</t>
        </is>
      </c>
      <c r="C28" s="13" t="s">
        <v>20</v>
      </c>
      <c r="D28" s="8" t="s">
        <v>184</v>
      </c>
      <c r="E28" s="9" t="s">
        <v>185</v>
      </c>
      <c r="F28" s="20">
        <v>8</v>
      </c>
      <c r="G28" s="23">
        <v>8</v>
      </c>
      <c r="H28" s="10">
        <f t="shared" si="1"/>
        <v>46280.75</v>
      </c>
      <c r="I28" s="93" t="str">
        <f t="shared" si="2"/>
        <v>3º</v>
      </c>
      <c r="J28" s="141"/>
      <c r="K28" s="94" t="str">
        <f>IF(VLOOKUP(C28,'Crono Furui'!$C$2:$C$189,1,FALSE)="","VERIFICAR","OK")</f>
        <v>OK</v>
      </c>
      <c r="L28" s="91">
        <f>VLOOKUP(C28,'Crono Furui'!$C:$G,2,FALSE)</f>
        <v>0</v>
      </c>
      <c r="M28" s="90">
        <f>VLOOKUP(C28,'Crono Furui'!$C:$G,5,FALSE)</f>
        <v>46268.666666666664</v>
      </c>
      <c r="N28" s="111" t="str">
        <f t="shared" si="4"/>
        <v>ATENDE</v>
      </c>
      <c r="O28" s="134">
        <f t="shared" si="3"/>
        <v>0</v>
      </c>
      <c r="P28" s="138"/>
    </row>
    <row r="29" spans="1:16" s="11" customFormat="1" x14ac:dyDescent="0.35">
      <c r="A29" s="7">
        <v>21</v>
      </c>
      <c r="B29" s="7" t="inlineStr">
        <is>
          <t>10"-A3B-HF-9301</t>
        </is>
      </c>
      <c r="C29" s="13" t="s">
        <v>21</v>
      </c>
      <c r="D29" s="8" t="s">
        <v>191</v>
      </c>
      <c r="E29" s="9" t="s">
        <v>185</v>
      </c>
      <c r="F29" s="20">
        <v>565.39760000000001</v>
      </c>
      <c r="G29" s="23">
        <v>53</v>
      </c>
      <c r="H29" s="10">
        <f t="shared" si="1"/>
        <v>46280.75</v>
      </c>
      <c r="I29" s="93" t="str">
        <f t="shared" si="2"/>
        <v>3º</v>
      </c>
      <c r="J29" s="141"/>
      <c r="K29" s="94" t="str">
        <f>IF(VLOOKUP(C29,'Crono Furui'!$C$2:$C$189,1,FALSE)="","VERIFICAR","OK")</f>
        <v>OK</v>
      </c>
      <c r="L29" s="91">
        <f>VLOOKUP(C29,'Crono Furui'!$C:$G,2,FALSE)</f>
        <v>0</v>
      </c>
      <c r="M29" s="90">
        <f>VLOOKUP(C29,'Crono Furui'!$C:$G,5,FALSE)</f>
        <v>46268.666666666664</v>
      </c>
      <c r="N29" s="111" t="str">
        <f t="shared" si="4"/>
        <v>ATENDE</v>
      </c>
      <c r="O29" s="134">
        <f t="shared" si="3"/>
        <v>0</v>
      </c>
      <c r="P29" s="138"/>
    </row>
    <row r="30" spans="1:16" s="11" customFormat="1" x14ac:dyDescent="0.35">
      <c r="A30" s="7">
        <v>22</v>
      </c>
      <c r="B30" s="7" t="inlineStr">
        <is>
          <t>10"-A3B-HF-9401</t>
        </is>
      </c>
      <c r="C30" s="13" t="s">
        <v>22</v>
      </c>
      <c r="D30" s="8" t="s">
        <v>191</v>
      </c>
      <c r="E30" s="9" t="s">
        <v>185</v>
      </c>
      <c r="F30" s="20">
        <v>168.91129999999998</v>
      </c>
      <c r="G30" s="23">
        <v>23</v>
      </c>
      <c r="H30" s="10">
        <f t="shared" si="1"/>
        <v>46280.75</v>
      </c>
      <c r="I30" s="93" t="str">
        <f t="shared" si="2"/>
        <v>3º</v>
      </c>
      <c r="J30" s="141"/>
      <c r="K30" s="94" t="str">
        <f>IF(VLOOKUP(C30,'Crono Furui'!$C$2:$C$189,1,FALSE)="","VERIFICAR","OK")</f>
        <v>OK</v>
      </c>
      <c r="L30" s="91">
        <f>VLOOKUP(C30,'Crono Furui'!$C:$G,2,FALSE)</f>
        <v>0</v>
      </c>
      <c r="M30" s="90">
        <f>VLOOKUP(C30,'Crono Furui'!$C:$G,5,FALSE)</f>
        <v>46269.625</v>
      </c>
      <c r="N30" s="111" t="str">
        <f t="shared" si="4"/>
        <v>ATENDE</v>
      </c>
      <c r="O30" s="134">
        <f t="shared" si="3"/>
        <v>0</v>
      </c>
      <c r="P30" s="138"/>
    </row>
    <row r="31" spans="1:16" s="11" customFormat="1" x14ac:dyDescent="0.35">
      <c r="A31" s="7">
        <v>23</v>
      </c>
      <c r="B31" s="7" t="inlineStr">
        <is>
          <t>10"-B3B-MR-5203A</t>
        </is>
      </c>
      <c r="C31" s="13" t="s">
        <v>23</v>
      </c>
      <c r="D31" s="8" t="s">
        <v>192</v>
      </c>
      <c r="E31" s="9" t="s">
        <v>183</v>
      </c>
      <c r="F31" s="20">
        <v>1104.1905000000002</v>
      </c>
      <c r="G31" s="23">
        <v>9</v>
      </c>
      <c r="H31" s="10">
        <f t="shared" si="1"/>
        <v>46265.75</v>
      </c>
      <c r="I31" s="93" t="str">
        <f t="shared" si="2"/>
        <v>2º</v>
      </c>
      <c r="J31" s="141">
        <v>46267</v>
      </c>
      <c r="K31" s="94" t="str">
        <f>IF(VLOOKUP(C31,'Crono Furui'!$C$2:$C$189,1,FALSE)="","VERIFICAR","OK")</f>
        <v>OK</v>
      </c>
      <c r="L31" s="91">
        <f>VLOOKUP(C31,'Crono Furui'!$C:$G,2,FALSE)</f>
        <v>0</v>
      </c>
      <c r="M31" s="90">
        <f>VLOOKUP(C31,'Crono Furui'!$C:$G,5,FALSE)</f>
        <v>46260.625</v>
      </c>
      <c r="N31" s="111" t="str">
        <f t="shared" si="4"/>
        <v>ATENDE</v>
      </c>
      <c r="O31" s="134">
        <f t="shared" si="3"/>
        <v>0</v>
      </c>
      <c r="P31" s="138"/>
    </row>
    <row r="32" spans="1:16" s="11" customFormat="1" x14ac:dyDescent="0.35">
      <c r="A32" s="7">
        <v>24</v>
      </c>
      <c r="B32" s="7" t="inlineStr">
        <is>
          <t>10"-B3B-MR-5203B</t>
        </is>
      </c>
      <c r="C32" s="13" t="s">
        <v>24</v>
      </c>
      <c r="D32" s="8" t="s">
        <v>193</v>
      </c>
      <c r="E32" s="9" t="s">
        <v>183</v>
      </c>
      <c r="F32" s="20">
        <v>1161.4659999999999</v>
      </c>
      <c r="G32" s="23">
        <v>9</v>
      </c>
      <c r="H32" s="10">
        <f t="shared" si="1"/>
        <v>46265.75</v>
      </c>
      <c r="I32" s="93" t="str">
        <f t="shared" si="2"/>
        <v>2º</v>
      </c>
      <c r="J32" s="141">
        <v>46267</v>
      </c>
      <c r="K32" s="94" t="str">
        <f>IF(VLOOKUP(C32,'Crono Furui'!$C$2:$C$189,1,FALSE)="","VERIFICAR","OK")</f>
        <v>OK</v>
      </c>
      <c r="L32" s="91">
        <f>VLOOKUP(C32,'Crono Furui'!$C:$G,2,FALSE)</f>
        <v>0</v>
      </c>
      <c r="M32" s="90">
        <f>VLOOKUP(C32,'Crono Furui'!$C:$G,5,FALSE)</f>
        <v>46260.625</v>
      </c>
      <c r="N32" s="111" t="str">
        <f t="shared" si="4"/>
        <v>ATENDE</v>
      </c>
      <c r="O32" s="134">
        <f t="shared" si="3"/>
        <v>0</v>
      </c>
      <c r="P32" s="138"/>
    </row>
    <row r="33" spans="1:16" s="11" customFormat="1" x14ac:dyDescent="0.35">
      <c r="A33" s="7">
        <v>25</v>
      </c>
      <c r="B33" s="7" t="inlineStr">
        <is>
          <t>16"-B3B-MR-5001A</t>
        </is>
      </c>
      <c r="C33" s="13" t="s">
        <v>25</v>
      </c>
      <c r="D33" s="8" t="s">
        <v>187</v>
      </c>
      <c r="E33" s="9" t="s">
        <v>183</v>
      </c>
      <c r="F33" s="20">
        <v>332.9846</v>
      </c>
      <c r="G33" s="23">
        <v>4</v>
      </c>
      <c r="H33" s="10">
        <f t="shared" si="1"/>
        <v>46265.75</v>
      </c>
      <c r="I33" s="93" t="str">
        <f t="shared" si="2"/>
        <v>2º</v>
      </c>
      <c r="J33" s="141">
        <v>46267</v>
      </c>
      <c r="K33" s="94" t="str">
        <f>IF(VLOOKUP(C33,'Crono Furui'!$C$2:$C$189,1,FALSE)="","VERIFICAR","OK")</f>
        <v>OK</v>
      </c>
      <c r="L33" s="91">
        <f>VLOOKUP(C33,'Crono Furui'!$C:$G,2,FALSE)</f>
        <v>0</v>
      </c>
      <c r="M33" s="90">
        <f>VLOOKUP(C33,'Crono Furui'!$C:$G,5,FALSE)</f>
        <v>46260.625</v>
      </c>
      <c r="N33" s="111" t="str">
        <f t="shared" si="4"/>
        <v>ATENDE</v>
      </c>
      <c r="O33" s="134">
        <f t="shared" si="3"/>
        <v>0</v>
      </c>
      <c r="P33" s="138"/>
    </row>
    <row r="34" spans="1:16" s="11" customFormat="1" x14ac:dyDescent="0.35">
      <c r="A34" s="7">
        <v>26</v>
      </c>
      <c r="B34" s="7" t="inlineStr">
        <is>
          <t>16"-B3B-MR-5002A</t>
        </is>
      </c>
      <c r="C34" s="13" t="s">
        <v>26</v>
      </c>
      <c r="D34" s="8" t="s">
        <v>192</v>
      </c>
      <c r="E34" s="9" t="s">
        <v>183</v>
      </c>
      <c r="F34" s="20">
        <v>332.9846</v>
      </c>
      <c r="G34" s="23">
        <v>4</v>
      </c>
      <c r="H34" s="10">
        <f t="shared" si="1"/>
        <v>46265.75</v>
      </c>
      <c r="I34" s="93" t="str">
        <f t="shared" si="2"/>
        <v>2º</v>
      </c>
      <c r="J34" s="141">
        <v>46267</v>
      </c>
      <c r="K34" s="94" t="str">
        <f>IF(VLOOKUP(C34,'Crono Furui'!$C$2:$C$189,1,FALSE)="","VERIFICAR","OK")</f>
        <v>OK</v>
      </c>
      <c r="L34" s="91">
        <f>VLOOKUP(C34,'Crono Furui'!$C:$G,2,FALSE)</f>
        <v>0</v>
      </c>
      <c r="M34" s="90">
        <f>VLOOKUP(C34,'Crono Furui'!$C:$G,5,FALSE)</f>
        <v>46260.625</v>
      </c>
      <c r="N34" s="111" t="str">
        <f t="shared" si="4"/>
        <v>ATENDE</v>
      </c>
      <c r="O34" s="134">
        <f t="shared" si="3"/>
        <v>0</v>
      </c>
      <c r="P34" s="138"/>
    </row>
    <row r="35" spans="1:16" s="11" customFormat="1" x14ac:dyDescent="0.35">
      <c r="A35" s="7">
        <v>27</v>
      </c>
      <c r="B35" s="7" t="inlineStr">
        <is>
          <t>2"-A1E-BOG-7001A</t>
        </is>
      </c>
      <c r="C35" s="13" t="s">
        <v>27</v>
      </c>
      <c r="D35" s="8" t="s">
        <v>194</v>
      </c>
      <c r="E35" s="9" t="s">
        <v>195</v>
      </c>
      <c r="F35" s="20">
        <v>16.612199999999998</v>
      </c>
      <c r="G35" s="23">
        <v>11</v>
      </c>
      <c r="H35" s="10">
        <f t="shared" si="1"/>
        <v>46287.75</v>
      </c>
      <c r="I35" s="93" t="str">
        <f t="shared" si="2"/>
        <v>4º</v>
      </c>
      <c r="J35" s="141"/>
      <c r="K35" s="94" t="str">
        <f>IF(VLOOKUP(C35,'Crono Furui'!$C$2:$C$189,1,FALSE)="","VERIFICAR","OK")</f>
        <v>OK</v>
      </c>
      <c r="L35" s="91">
        <f>VLOOKUP(C35,'Crono Furui'!$C:$G,2,FALSE)</f>
        <v>0</v>
      </c>
      <c r="M35" s="90">
        <f>VLOOKUP(C35,'Crono Furui'!$C:$G,5,FALSE)</f>
        <v>46281.625</v>
      </c>
      <c r="N35" s="111" t="str">
        <f t="shared" si="4"/>
        <v>ATENDE</v>
      </c>
      <c r="O35" s="134">
        <f t="shared" si="3"/>
        <v>0</v>
      </c>
      <c r="P35" s="138"/>
    </row>
    <row r="36" spans="1:16" s="11" customFormat="1" x14ac:dyDescent="0.35">
      <c r="A36" s="7">
        <v>28</v>
      </c>
      <c r="B36" s="7" t="inlineStr">
        <is>
          <t>2"-A1E-BOG-7002A</t>
        </is>
      </c>
      <c r="C36" s="13" t="s">
        <v>28</v>
      </c>
      <c r="D36" s="8" t="s">
        <v>196</v>
      </c>
      <c r="E36" s="9" t="s">
        <v>195</v>
      </c>
      <c r="F36" s="20">
        <v>16.572500000000002</v>
      </c>
      <c r="G36" s="23">
        <v>11</v>
      </c>
      <c r="H36" s="10">
        <f t="shared" si="1"/>
        <v>46287.75</v>
      </c>
      <c r="I36" s="93" t="str">
        <f t="shared" si="2"/>
        <v>4º</v>
      </c>
      <c r="J36" s="141"/>
      <c r="K36" s="94" t="str">
        <f>IF(VLOOKUP(C36,'Crono Furui'!$C$2:$C$189,1,FALSE)="","VERIFICAR","OK")</f>
        <v>OK</v>
      </c>
      <c r="L36" s="91">
        <f>VLOOKUP(C36,'Crono Furui'!$C:$G,2,FALSE)</f>
        <v>0</v>
      </c>
      <c r="M36" s="90">
        <f>VLOOKUP(C36,'Crono Furui'!$C:$G,5,FALSE)</f>
        <v>46281.625</v>
      </c>
      <c r="N36" s="111" t="str">
        <f t="shared" si="4"/>
        <v>ATENDE</v>
      </c>
      <c r="O36" s="134">
        <f t="shared" si="3"/>
        <v>0</v>
      </c>
      <c r="P36" s="138"/>
    </row>
    <row r="37" spans="1:16" s="11" customFormat="1" x14ac:dyDescent="0.35">
      <c r="A37" s="7">
        <v>29</v>
      </c>
      <c r="B37" s="7" t="inlineStr">
        <is>
          <t>2"-A1E-BOG-7003B</t>
        </is>
      </c>
      <c r="C37" s="13" t="s">
        <v>29</v>
      </c>
      <c r="D37" s="8" t="s">
        <v>197</v>
      </c>
      <c r="E37" s="9" t="s">
        <v>195</v>
      </c>
      <c r="F37" s="20">
        <v>16.731300000000001</v>
      </c>
      <c r="G37" s="23">
        <v>11</v>
      </c>
      <c r="H37" s="10">
        <f t="shared" si="1"/>
        <v>46287.75</v>
      </c>
      <c r="I37" s="93" t="str">
        <f t="shared" si="2"/>
        <v>4º</v>
      </c>
      <c r="J37" s="141"/>
      <c r="K37" s="94" t="str">
        <f>IF(VLOOKUP(C37,'Crono Furui'!$C$2:$C$189,1,FALSE)="","VERIFICAR","OK")</f>
        <v>OK</v>
      </c>
      <c r="L37" s="91">
        <f>VLOOKUP(C37,'Crono Furui'!$C:$G,2,FALSE)</f>
        <v>0</v>
      </c>
      <c r="M37" s="90">
        <f>VLOOKUP(C37,'Crono Furui'!$C:$G,5,FALSE)</f>
        <v>46281.625</v>
      </c>
      <c r="N37" s="111" t="str">
        <f t="shared" si="4"/>
        <v>ATENDE</v>
      </c>
      <c r="O37" s="134">
        <f t="shared" si="3"/>
        <v>0</v>
      </c>
      <c r="P37" s="138"/>
    </row>
    <row r="38" spans="1:16" s="11" customFormat="1" x14ac:dyDescent="0.35">
      <c r="A38" s="7">
        <v>30</v>
      </c>
      <c r="B38" s="7" t="inlineStr">
        <is>
          <t>2"-A1E-BOG-7004B</t>
        </is>
      </c>
      <c r="C38" s="13" t="s">
        <v>30</v>
      </c>
      <c r="D38" s="8" t="s">
        <v>198</v>
      </c>
      <c r="E38" s="9" t="s">
        <v>195</v>
      </c>
      <c r="F38" s="20">
        <v>16.612199999999998</v>
      </c>
      <c r="G38" s="23">
        <v>11</v>
      </c>
      <c r="H38" s="10">
        <f t="shared" si="1"/>
        <v>46287.75</v>
      </c>
      <c r="I38" s="93" t="str">
        <f t="shared" si="2"/>
        <v>4º</v>
      </c>
      <c r="J38" s="141"/>
      <c r="K38" s="94" t="str">
        <f>IF(VLOOKUP(C38,'Crono Furui'!$C$2:$C$189,1,FALSE)="","VERIFICAR","OK")</f>
        <v>OK</v>
      </c>
      <c r="L38" s="91">
        <f>VLOOKUP(C38,'Crono Furui'!$C:$G,2,FALSE)</f>
        <v>0</v>
      </c>
      <c r="M38" s="90">
        <f>VLOOKUP(C38,'Crono Furui'!$C:$G,5,FALSE)</f>
        <v>46281.625</v>
      </c>
      <c r="N38" s="111" t="str">
        <f t="shared" si="4"/>
        <v>ATENDE</v>
      </c>
      <c r="O38" s="134">
        <f t="shared" si="3"/>
        <v>0</v>
      </c>
      <c r="P38" s="138"/>
    </row>
    <row r="39" spans="1:16" s="11" customFormat="1" x14ac:dyDescent="0.35">
      <c r="A39" s="7">
        <v>31</v>
      </c>
      <c r="B39" s="7" t="inlineStr">
        <is>
          <t>2"-A1E-BOG-7005C</t>
        </is>
      </c>
      <c r="C39" s="13" t="s">
        <v>31</v>
      </c>
      <c r="D39" s="8" t="s">
        <v>199</v>
      </c>
      <c r="E39" s="9" t="s">
        <v>195</v>
      </c>
      <c r="F39" s="20">
        <v>16.651900000000001</v>
      </c>
      <c r="G39" s="23">
        <v>11</v>
      </c>
      <c r="H39" s="10">
        <f t="shared" si="1"/>
        <v>46287.75</v>
      </c>
      <c r="I39" s="93" t="str">
        <f t="shared" si="2"/>
        <v>4º</v>
      </c>
      <c r="J39" s="141"/>
      <c r="K39" s="94" t="str">
        <f>IF(VLOOKUP(C39,'Crono Furui'!$C$2:$C$189,1,FALSE)="","VERIFICAR","OK")</f>
        <v>OK</v>
      </c>
      <c r="L39" s="91">
        <f>VLOOKUP(C39,'Crono Furui'!$C:$G,2,FALSE)</f>
        <v>0</v>
      </c>
      <c r="M39" s="90">
        <f>VLOOKUP(C39,'Crono Furui'!$C:$G,5,FALSE)</f>
        <v>46282.583333333336</v>
      </c>
      <c r="N39" s="111" t="str">
        <f t="shared" si="4"/>
        <v>ATENDE</v>
      </c>
      <c r="O39" s="134">
        <f t="shared" si="3"/>
        <v>0</v>
      </c>
      <c r="P39" s="138"/>
    </row>
    <row r="40" spans="1:16" s="11" customFormat="1" x14ac:dyDescent="0.35">
      <c r="A40" s="7">
        <v>32</v>
      </c>
      <c r="B40" s="7" t="inlineStr">
        <is>
          <t>2"-A1E-BOG-7006A</t>
        </is>
      </c>
      <c r="C40" s="13" t="s">
        <v>32</v>
      </c>
      <c r="D40" s="8" t="s">
        <v>194</v>
      </c>
      <c r="E40" s="9" t="s">
        <v>195</v>
      </c>
      <c r="F40" s="20">
        <v>20.677500000000002</v>
      </c>
      <c r="G40" s="23">
        <v>9</v>
      </c>
      <c r="H40" s="10">
        <f t="shared" si="1"/>
        <v>46287.75</v>
      </c>
      <c r="I40" s="93" t="str">
        <f t="shared" si="2"/>
        <v>4º</v>
      </c>
      <c r="J40" s="141"/>
      <c r="K40" s="94" t="str">
        <f>IF(VLOOKUP(C40,'Crono Furui'!$C$2:$C$189,1,FALSE)="","VERIFICAR","OK")</f>
        <v>OK</v>
      </c>
      <c r="L40" s="91">
        <f>VLOOKUP(C40,'Crono Furui'!$C:$G,2,FALSE)</f>
        <v>0</v>
      </c>
      <c r="M40" s="90">
        <f>VLOOKUP(C40,'Crono Furui'!$C:$G,5,FALSE)</f>
        <v>46282.583333333336</v>
      </c>
      <c r="N40" s="111" t="str">
        <f t="shared" si="4"/>
        <v>ATENDE</v>
      </c>
      <c r="O40" s="134">
        <f t="shared" si="3"/>
        <v>0</v>
      </c>
      <c r="P40" s="138"/>
    </row>
    <row r="41" spans="1:16" s="11" customFormat="1" x14ac:dyDescent="0.35">
      <c r="A41" s="7">
        <v>33</v>
      </c>
      <c r="B41" s="7" t="inlineStr">
        <is>
          <t>2"-A1E-BOG-7006C</t>
        </is>
      </c>
      <c r="C41" s="13" t="s">
        <v>33</v>
      </c>
      <c r="D41" s="8" t="s">
        <v>200</v>
      </c>
      <c r="E41" s="9" t="s">
        <v>195</v>
      </c>
      <c r="F41" s="20">
        <v>16.731299999999997</v>
      </c>
      <c r="G41" s="23">
        <v>11</v>
      </c>
      <c r="H41" s="10">
        <f t="shared" ref="H41:H72" si="5">VLOOKUP(D41,$D$195:$F$231,3,FALSE)</f>
        <v>46287.75</v>
      </c>
      <c r="I41" s="93" t="str">
        <f t="shared" ref="I41:I72" si="6">VLOOKUP(H41,$H$197:$I$200,2,FALSE)</f>
        <v>4º</v>
      </c>
      <c r="J41" s="141"/>
      <c r="K41" s="94" t="str">
        <f>IF(VLOOKUP(C41,'Crono Furui'!$C$2:$C$189,1,FALSE)="","VERIFICAR","OK")</f>
        <v>OK</v>
      </c>
      <c r="L41" s="91">
        <f>VLOOKUP(C41,'Crono Furui'!$C:$G,2,FALSE)</f>
        <v>0</v>
      </c>
      <c r="M41" s="90">
        <f>VLOOKUP(C41,'Crono Furui'!$C:$G,5,FALSE)</f>
        <v>46282.583333333336</v>
      </c>
      <c r="N41" s="111" t="str">
        <f t="shared" si="4"/>
        <v>ATENDE</v>
      </c>
      <c r="O41" s="134">
        <f t="shared" si="3"/>
        <v>0</v>
      </c>
      <c r="P41" s="138"/>
    </row>
    <row r="42" spans="1:16" s="11" customFormat="1" x14ac:dyDescent="0.35">
      <c r="A42" s="7">
        <v>34</v>
      </c>
      <c r="B42" s="7" t="inlineStr">
        <is>
          <t>2"-A1E-BOG-7007A</t>
        </is>
      </c>
      <c r="C42" s="13" t="s">
        <v>34</v>
      </c>
      <c r="D42" s="8" t="s">
        <v>196</v>
      </c>
      <c r="E42" s="9" t="s">
        <v>195</v>
      </c>
      <c r="F42" s="20">
        <v>20.677500000000002</v>
      </c>
      <c r="G42" s="23">
        <v>9</v>
      </c>
      <c r="H42" s="10">
        <f t="shared" si="5"/>
        <v>46287.75</v>
      </c>
      <c r="I42" s="93" t="str">
        <f t="shared" si="6"/>
        <v>4º</v>
      </c>
      <c r="J42" s="141"/>
      <c r="K42" s="94" t="str">
        <f>IF(VLOOKUP(C42,'Crono Furui'!$C$2:$C$189,1,FALSE)="","VERIFICAR","OK")</f>
        <v>OK</v>
      </c>
      <c r="L42" s="91">
        <f>VLOOKUP(C42,'Crono Furui'!$C:$G,2,FALSE)</f>
        <v>0</v>
      </c>
      <c r="M42" s="90">
        <f>VLOOKUP(C42,'Crono Furui'!$C:$G,5,FALSE)</f>
        <v>46282.583333333336</v>
      </c>
      <c r="N42" s="111" t="str">
        <f t="shared" si="4"/>
        <v>ATENDE</v>
      </c>
      <c r="O42" s="134">
        <f t="shared" si="3"/>
        <v>0</v>
      </c>
      <c r="P42" s="138"/>
    </row>
    <row r="43" spans="1:16" s="11" customFormat="1" x14ac:dyDescent="0.35">
      <c r="A43" s="7">
        <v>35</v>
      </c>
      <c r="B43" s="7" t="inlineStr">
        <is>
          <t>2"-A1E-BOG-7008B</t>
        </is>
      </c>
      <c r="C43" s="13" t="s">
        <v>35</v>
      </c>
      <c r="D43" s="8" t="s">
        <v>197</v>
      </c>
      <c r="E43" s="9" t="s">
        <v>195</v>
      </c>
      <c r="F43" s="20">
        <v>20.677500000000002</v>
      </c>
      <c r="G43" s="23">
        <v>9</v>
      </c>
      <c r="H43" s="10">
        <f t="shared" si="5"/>
        <v>46287.75</v>
      </c>
      <c r="I43" s="93" t="str">
        <f t="shared" si="6"/>
        <v>4º</v>
      </c>
      <c r="J43" s="141"/>
      <c r="K43" s="94" t="str">
        <f>IF(VLOOKUP(C43,'Crono Furui'!$C$2:$C$189,1,FALSE)="","VERIFICAR","OK")</f>
        <v>OK</v>
      </c>
      <c r="L43" s="91">
        <f>VLOOKUP(C43,'Crono Furui'!$C:$G,2,FALSE)</f>
        <v>0</v>
      </c>
      <c r="M43" s="90">
        <f>VLOOKUP(C43,'Crono Furui'!$C:$G,5,FALSE)</f>
        <v>46283.5</v>
      </c>
      <c r="N43" s="111" t="str">
        <f t="shared" si="4"/>
        <v>ATENDE</v>
      </c>
      <c r="O43" s="134">
        <f t="shared" si="3"/>
        <v>0</v>
      </c>
      <c r="P43" s="138"/>
    </row>
    <row r="44" spans="1:16" s="11" customFormat="1" x14ac:dyDescent="0.35">
      <c r="A44" s="7">
        <v>36</v>
      </c>
      <c r="B44" s="7" t="inlineStr">
        <is>
          <t>2"-A1E-BOG-7009B</t>
        </is>
      </c>
      <c r="C44" s="13" t="s">
        <v>36</v>
      </c>
      <c r="D44" s="8" t="s">
        <v>201</v>
      </c>
      <c r="E44" s="9" t="s">
        <v>195</v>
      </c>
      <c r="F44" s="20">
        <v>20.717200000000002</v>
      </c>
      <c r="G44" s="23">
        <v>9</v>
      </c>
      <c r="H44" s="10">
        <f t="shared" si="5"/>
        <v>46287.75</v>
      </c>
      <c r="I44" s="93" t="str">
        <f t="shared" si="6"/>
        <v>4º</v>
      </c>
      <c r="J44" s="141"/>
      <c r="K44" s="94" t="str">
        <f>IF(VLOOKUP(C44,'Crono Furui'!$C$2:$C$189,1,FALSE)="","VERIFICAR","OK")</f>
        <v>OK</v>
      </c>
      <c r="L44" s="91">
        <f>VLOOKUP(C44,'Crono Furui'!$C:$G,2,FALSE)</f>
        <v>0</v>
      </c>
      <c r="M44" s="90">
        <f>VLOOKUP(C44,'Crono Furui'!$C:$G,5,FALSE)</f>
        <v>46283.5</v>
      </c>
      <c r="N44" s="111" t="str">
        <f t="shared" si="4"/>
        <v>ATENDE</v>
      </c>
      <c r="O44" s="134">
        <f t="shared" si="3"/>
        <v>0</v>
      </c>
      <c r="P44" s="138"/>
    </row>
    <row r="45" spans="1:16" s="11" customFormat="1" x14ac:dyDescent="0.35">
      <c r="A45" s="7">
        <v>37</v>
      </c>
      <c r="B45" s="7" t="inlineStr">
        <is>
          <t>2"-A1E-BOG-7010C</t>
        </is>
      </c>
      <c r="C45" s="13" t="s">
        <v>37</v>
      </c>
      <c r="D45" s="8" t="s">
        <v>199</v>
      </c>
      <c r="E45" s="9" t="s">
        <v>195</v>
      </c>
      <c r="F45" s="20">
        <v>20.756900000000002</v>
      </c>
      <c r="G45" s="23">
        <v>9</v>
      </c>
      <c r="H45" s="10">
        <f t="shared" si="5"/>
        <v>46287.75</v>
      </c>
      <c r="I45" s="93" t="str">
        <f t="shared" si="6"/>
        <v>4º</v>
      </c>
      <c r="J45" s="141"/>
      <c r="K45" s="94" t="str">
        <f>IF(VLOOKUP(C45,'Crono Furui'!$C$2:$C$189,1,FALSE)="","VERIFICAR","OK")</f>
        <v>OK</v>
      </c>
      <c r="L45" s="91">
        <f>VLOOKUP(C45,'Crono Furui'!$C:$G,2,FALSE)</f>
        <v>0</v>
      </c>
      <c r="M45" s="90">
        <f>VLOOKUP(C45,'Crono Furui'!$C:$G,5,FALSE)</f>
        <v>46283.5</v>
      </c>
      <c r="N45" s="111" t="str">
        <f t="shared" si="4"/>
        <v>ATENDE</v>
      </c>
      <c r="O45" s="134">
        <f t="shared" si="3"/>
        <v>0</v>
      </c>
      <c r="P45" s="138"/>
    </row>
    <row r="46" spans="1:16" s="11" customFormat="1" x14ac:dyDescent="0.35">
      <c r="A46" s="7">
        <v>38</v>
      </c>
      <c r="B46" s="7" t="inlineStr">
        <is>
          <t>2"-A1E-BOG-7011C</t>
        </is>
      </c>
      <c r="C46" s="13" t="s">
        <v>38</v>
      </c>
      <c r="D46" s="8" t="s">
        <v>200</v>
      </c>
      <c r="E46" s="9" t="s">
        <v>195</v>
      </c>
      <c r="F46" s="20">
        <v>20.796600000000002</v>
      </c>
      <c r="G46" s="23">
        <v>9</v>
      </c>
      <c r="H46" s="10">
        <f t="shared" si="5"/>
        <v>46287.75</v>
      </c>
      <c r="I46" s="93" t="str">
        <f t="shared" si="6"/>
        <v>4º</v>
      </c>
      <c r="J46" s="141"/>
      <c r="K46" s="94" t="str">
        <f>IF(VLOOKUP(C46,'Crono Furui'!$C$2:$C$189,1,FALSE)="","VERIFICAR","OK")</f>
        <v>OK</v>
      </c>
      <c r="L46" s="91">
        <f>VLOOKUP(C46,'Crono Furui'!$C:$G,2,FALSE)</f>
        <v>0</v>
      </c>
      <c r="M46" s="90">
        <f>VLOOKUP(C46,'Crono Furui'!$C:$G,5,FALSE)</f>
        <v>46283.5</v>
      </c>
      <c r="N46" s="111" t="str">
        <f t="shared" si="4"/>
        <v>ATENDE</v>
      </c>
      <c r="O46" s="134">
        <f t="shared" si="3"/>
        <v>0</v>
      </c>
      <c r="P46" s="138"/>
    </row>
    <row r="47" spans="1:16" s="11" customFormat="1" x14ac:dyDescent="0.35">
      <c r="A47" s="7">
        <v>39</v>
      </c>
      <c r="B47" s="7" t="inlineStr">
        <is>
          <t>2"-A1E-BOG-7205B</t>
        </is>
      </c>
      <c r="C47" s="13" t="s">
        <v>39</v>
      </c>
      <c r="D47" s="8" t="s">
        <v>180</v>
      </c>
      <c r="E47" s="9" t="s">
        <v>202</v>
      </c>
      <c r="F47" s="20">
        <v>34.447699999999998</v>
      </c>
      <c r="G47" s="23">
        <v>18</v>
      </c>
      <c r="H47" s="10">
        <f t="shared" si="5"/>
        <v>46287.75</v>
      </c>
      <c r="I47" s="93" t="str">
        <f t="shared" si="6"/>
        <v>4º</v>
      </c>
      <c r="J47" s="141"/>
      <c r="K47" s="94" t="str">
        <f>IF(VLOOKUP(C47,'Crono Furui'!$C$2:$C$189,1,FALSE)="","VERIFICAR","OK")</f>
        <v>OK</v>
      </c>
      <c r="L47" s="91">
        <f>VLOOKUP(C47,'Crono Furui'!$C:$G,2,FALSE)</f>
        <v>0</v>
      </c>
      <c r="M47" s="90">
        <f>VLOOKUP(C47,'Crono Furui'!$C:$G,5,FALSE)</f>
        <v>46283.5</v>
      </c>
      <c r="N47" s="111" t="str">
        <f t="shared" si="4"/>
        <v>ATENDE</v>
      </c>
      <c r="O47" s="134">
        <f t="shared" si="3"/>
        <v>0</v>
      </c>
      <c r="P47" s="138"/>
    </row>
    <row r="48" spans="1:16" s="11" customFormat="1" x14ac:dyDescent="0.35">
      <c r="A48" s="7">
        <v>40</v>
      </c>
      <c r="B48" s="7" t="inlineStr">
        <is>
          <t>2"-A1E-CF-4007A</t>
        </is>
      </c>
      <c r="C48" s="13" t="s">
        <v>40</v>
      </c>
      <c r="D48" s="8" t="s">
        <v>188</v>
      </c>
      <c r="E48" s="9" t="s">
        <v>183</v>
      </c>
      <c r="F48" s="20">
        <v>32.842100000000002</v>
      </c>
      <c r="G48" s="23">
        <v>12</v>
      </c>
      <c r="H48" s="10">
        <f t="shared" si="5"/>
        <v>46251.75</v>
      </c>
      <c r="I48" s="93" t="str">
        <f t="shared" si="6"/>
        <v>1º</v>
      </c>
      <c r="J48" s="141">
        <v>46254</v>
      </c>
      <c r="K48" s="94" t="str">
        <f>IF(VLOOKUP(C48,'Crono Furui'!$C$2:$C$189,1,FALSE)="","VERIFICAR","OK")</f>
        <v>OK</v>
      </c>
      <c r="L48" s="91">
        <f>VLOOKUP(C48,'Crono Furui'!$C:$G,2,FALSE)</f>
        <v>1</v>
      </c>
      <c r="M48" s="90">
        <f>VLOOKUP(C48,'Crono Furui'!$C:$G,5,FALSE)</f>
        <v>46251.5</v>
      </c>
      <c r="N48" s="111" t="str">
        <f t="shared" si="4"/>
        <v>ATENDE</v>
      </c>
      <c r="O48" s="134">
        <f t="shared" si="3"/>
        <v>32.842100000000002</v>
      </c>
      <c r="P48" s="138"/>
    </row>
    <row r="49" spans="1:16" s="11" customFormat="1" x14ac:dyDescent="0.35">
      <c r="A49" s="7">
        <v>41</v>
      </c>
      <c r="B49" s="7" t="inlineStr">
        <is>
          <t>2"-A1E-CF-7201</t>
        </is>
      </c>
      <c r="C49" s="13" t="s">
        <v>41</v>
      </c>
      <c r="D49" s="8" t="s">
        <v>180</v>
      </c>
      <c r="E49" s="9" t="s">
        <v>202</v>
      </c>
      <c r="F49" s="20">
        <v>25.4392</v>
      </c>
      <c r="G49" s="23">
        <v>8</v>
      </c>
      <c r="H49" s="10">
        <f t="shared" si="5"/>
        <v>46287.75</v>
      </c>
      <c r="I49" s="93" t="str">
        <f t="shared" si="6"/>
        <v>4º</v>
      </c>
      <c r="J49" s="141"/>
      <c r="K49" s="94" t="str">
        <f>IF(VLOOKUP(C49,'Crono Furui'!$C$2:$C$189,1,FALSE)="","VERIFICAR","OK")</f>
        <v>OK</v>
      </c>
      <c r="L49" s="91">
        <f>VLOOKUP(C49,'Crono Furui'!$C:$G,2,FALSE)</f>
        <v>0</v>
      </c>
      <c r="M49" s="90">
        <f>VLOOKUP(C49,'Crono Furui'!$C:$G,5,FALSE)</f>
        <v>46284.458333333336</v>
      </c>
      <c r="N49" s="111" t="str">
        <f t="shared" si="4"/>
        <v>ATENDE</v>
      </c>
      <c r="O49" s="134">
        <f t="shared" si="3"/>
        <v>0</v>
      </c>
      <c r="P49" s="138"/>
    </row>
    <row r="50" spans="1:16" s="11" customFormat="1" x14ac:dyDescent="0.35">
      <c r="A50" s="7">
        <v>42</v>
      </c>
      <c r="B50" s="7" t="inlineStr">
        <is>
          <t>2"-A3B-WW-9401</t>
        </is>
      </c>
      <c r="C50" s="13" t="s">
        <v>42</v>
      </c>
      <c r="D50" s="8" t="s">
        <v>191</v>
      </c>
      <c r="E50" s="9" t="s">
        <v>185</v>
      </c>
      <c r="F50" s="20">
        <v>25.876199999999997</v>
      </c>
      <c r="G50" s="23">
        <v>17</v>
      </c>
      <c r="H50" s="10">
        <f t="shared" si="5"/>
        <v>46280.75</v>
      </c>
      <c r="I50" s="93" t="str">
        <f t="shared" si="6"/>
        <v>3º</v>
      </c>
      <c r="J50" s="141"/>
      <c r="K50" s="94" t="str">
        <f>IF(VLOOKUP(C50,'Crono Furui'!$C$2:$C$189,1,FALSE)="","VERIFICAR","OK")</f>
        <v>OK</v>
      </c>
      <c r="L50" s="91">
        <f>VLOOKUP(C50,'Crono Furui'!$C:$G,2,FALSE)</f>
        <v>0</v>
      </c>
      <c r="M50" s="90">
        <f>VLOOKUP(C50,'Crono Furui'!$C:$G,5,FALSE)</f>
        <v>46269.625</v>
      </c>
      <c r="N50" s="111" t="str">
        <f t="shared" si="4"/>
        <v>ATENDE</v>
      </c>
      <c r="O50" s="134">
        <f t="shared" si="3"/>
        <v>0</v>
      </c>
      <c r="P50" s="138"/>
    </row>
    <row r="51" spans="1:16" s="11" customFormat="1" x14ac:dyDescent="0.35">
      <c r="A51" s="7">
        <v>43</v>
      </c>
      <c r="B51" s="7" t="inlineStr">
        <is>
          <t>2"-A3B-WW-9402</t>
        </is>
      </c>
      <c r="C51" s="13" t="s">
        <v>43</v>
      </c>
      <c r="D51" s="8" t="s">
        <v>191</v>
      </c>
      <c r="E51" s="9" t="s">
        <v>185</v>
      </c>
      <c r="F51" s="20">
        <v>16.202999999999999</v>
      </c>
      <c r="G51" s="23">
        <v>10</v>
      </c>
      <c r="H51" s="10">
        <f t="shared" si="5"/>
        <v>46280.75</v>
      </c>
      <c r="I51" s="93" t="str">
        <f t="shared" si="6"/>
        <v>3º</v>
      </c>
      <c r="J51" s="141"/>
      <c r="K51" s="94" t="str">
        <f>IF(VLOOKUP(C51,'Crono Furui'!$C$2:$C$189,1,FALSE)="","VERIFICAR","OK")</f>
        <v>OK</v>
      </c>
      <c r="L51" s="91">
        <f>VLOOKUP(C51,'Crono Furui'!$C:$G,2,FALSE)</f>
        <v>0</v>
      </c>
      <c r="M51" s="90">
        <f>VLOOKUP(C51,'Crono Furui'!$C:$G,5,FALSE)</f>
        <v>46269.625</v>
      </c>
      <c r="N51" s="111" t="str">
        <f t="shared" si="4"/>
        <v>ATENDE</v>
      </c>
      <c r="O51" s="134">
        <f t="shared" si="3"/>
        <v>0</v>
      </c>
      <c r="P51" s="138"/>
    </row>
    <row r="52" spans="1:16" s="11" customFormat="1" x14ac:dyDescent="0.35">
      <c r="A52" s="7">
        <v>44</v>
      </c>
      <c r="B52" s="7" t="inlineStr">
        <is>
          <t>2"-A3B-WW-LIT9401A</t>
        </is>
      </c>
      <c r="C52" s="13" t="s">
        <v>44</v>
      </c>
      <c r="D52" s="8" t="s">
        <v>191</v>
      </c>
      <c r="E52" s="9" t="s">
        <v>185</v>
      </c>
      <c r="F52" s="20">
        <v>6.1616</v>
      </c>
      <c r="G52" s="23">
        <v>6</v>
      </c>
      <c r="H52" s="10">
        <f t="shared" si="5"/>
        <v>46280.75</v>
      </c>
      <c r="I52" s="93" t="str">
        <f t="shared" si="6"/>
        <v>3º</v>
      </c>
      <c r="J52" s="141"/>
      <c r="K52" s="94" t="str">
        <f>IF(VLOOKUP(C52,'Crono Furui'!$C$2:$C$189,1,FALSE)="","VERIFICAR","OK")</f>
        <v>OK</v>
      </c>
      <c r="L52" s="91">
        <f>VLOOKUP(C52,'Crono Furui'!$C:$G,2,FALSE)</f>
        <v>0</v>
      </c>
      <c r="M52" s="90">
        <f>VLOOKUP(C52,'Crono Furui'!$C:$G,5,FALSE)</f>
        <v>46269.625</v>
      </c>
      <c r="N52" s="111" t="str">
        <f t="shared" si="4"/>
        <v>ATENDE</v>
      </c>
      <c r="O52" s="134">
        <f t="shared" si="3"/>
        <v>0</v>
      </c>
      <c r="P52" s="138"/>
    </row>
    <row r="53" spans="1:16" s="11" customFormat="1" x14ac:dyDescent="0.35">
      <c r="A53" s="7">
        <v>45</v>
      </c>
      <c r="B53" s="7" t="inlineStr">
        <is>
          <t>2"-A3B-WW-LIT9401B</t>
        </is>
      </c>
      <c r="C53" s="13" t="s">
        <v>45</v>
      </c>
      <c r="D53" s="8" t="s">
        <v>191</v>
      </c>
      <c r="E53" s="9" t="s">
        <v>185</v>
      </c>
      <c r="F53" s="20">
        <v>6.1616000000000009</v>
      </c>
      <c r="G53" s="23">
        <v>2</v>
      </c>
      <c r="H53" s="10">
        <f t="shared" si="5"/>
        <v>46280.75</v>
      </c>
      <c r="I53" s="93" t="str">
        <f t="shared" si="6"/>
        <v>3º</v>
      </c>
      <c r="J53" s="141"/>
      <c r="K53" s="94" t="str">
        <f>IF(VLOOKUP(C53,'Crono Furui'!$C$2:$C$189,1,FALSE)="","VERIFICAR","OK")</f>
        <v>OK</v>
      </c>
      <c r="L53" s="91">
        <f>VLOOKUP(C53,'Crono Furui'!$C:$G,2,FALSE)</f>
        <v>0</v>
      </c>
      <c r="M53" s="90">
        <f>VLOOKUP(C53,'Crono Furui'!$C:$G,5,FALSE)</f>
        <v>46270.583333333336</v>
      </c>
      <c r="N53" s="111" t="str">
        <f t="shared" si="4"/>
        <v>ATENDE</v>
      </c>
      <c r="O53" s="134">
        <f t="shared" si="3"/>
        <v>0</v>
      </c>
      <c r="P53" s="138"/>
    </row>
    <row r="54" spans="1:16" s="11" customFormat="1" ht="17.399999999999999" customHeight="1" x14ac:dyDescent="0.35">
      <c r="A54" s="7">
        <v>46</v>
      </c>
      <c r="B54" s="7" t="inlineStr">
        <is>
          <t>2"-B1E-MR-4010A</t>
        </is>
      </c>
      <c r="C54" s="13" t="s">
        <v>46</v>
      </c>
      <c r="D54" s="8" t="s">
        <v>186</v>
      </c>
      <c r="E54" s="9" t="s">
        <v>183</v>
      </c>
      <c r="F54" s="20">
        <v>31.2074</v>
      </c>
      <c r="G54" s="23">
        <v>19</v>
      </c>
      <c r="H54" s="10">
        <f t="shared" si="5"/>
        <v>46251.75</v>
      </c>
      <c r="I54" s="93" t="str">
        <f t="shared" si="6"/>
        <v>1º</v>
      </c>
      <c r="J54" s="141">
        <v>46254</v>
      </c>
      <c r="K54" s="130" t="str">
        <f>IF(VLOOKUP(C54,'Crono Furui'!$C$2:$C$189,1,FALSE)="","VERIFICAR","OK")</f>
        <v>OK</v>
      </c>
      <c r="L54" s="131">
        <f>VLOOKUP(C54,'Crono Furui'!$C:$G,2,FALSE)</f>
        <v>1</v>
      </c>
      <c r="M54" s="132">
        <f>VLOOKUP(C54,'Crono Furui'!$C:$G,5,FALSE)</f>
        <v>46251.5</v>
      </c>
      <c r="N54" s="133" t="str">
        <f t="shared" si="4"/>
        <v>ATENDE</v>
      </c>
      <c r="O54" s="135">
        <f t="shared" si="3"/>
        <v>31.2074</v>
      </c>
      <c r="P54" s="139" t="s">
        <v>525</v>
      </c>
    </row>
    <row r="55" spans="1:16" s="11" customFormat="1" x14ac:dyDescent="0.35">
      <c r="A55" s="7">
        <v>47</v>
      </c>
      <c r="B55" s="7" t="inlineStr">
        <is>
          <t>2"-B3B-LPG-1001</t>
        </is>
      </c>
      <c r="C55" s="13" t="s">
        <v>47</v>
      </c>
      <c r="D55" s="8" t="s">
        <v>203</v>
      </c>
      <c r="E55" s="9" t="s">
        <v>190</v>
      </c>
      <c r="F55" s="20">
        <v>127.98720000000002</v>
      </c>
      <c r="G55" s="23">
        <v>18</v>
      </c>
      <c r="H55" s="10">
        <f t="shared" si="5"/>
        <v>46280.75</v>
      </c>
      <c r="I55" s="93" t="str">
        <f t="shared" si="6"/>
        <v>3º</v>
      </c>
      <c r="J55" s="141"/>
      <c r="K55" s="94" t="str">
        <f>IF(VLOOKUP(C55,'Crono Furui'!$C$2:$C$189,1,FALSE)="","VERIFICAR","OK")</f>
        <v>OK</v>
      </c>
      <c r="L55" s="91">
        <f>VLOOKUP(C55,'Crono Furui'!$C:$G,2,FALSE)</f>
        <v>0</v>
      </c>
      <c r="M55" s="90">
        <f>VLOOKUP(C55,'Crono Furui'!$C:$G,5,FALSE)</f>
        <v>46270.583333333336</v>
      </c>
      <c r="N55" s="111" t="str">
        <f t="shared" si="4"/>
        <v>ATENDE</v>
      </c>
      <c r="O55" s="134">
        <f t="shared" si="3"/>
        <v>0</v>
      </c>
      <c r="P55" s="138"/>
    </row>
    <row r="56" spans="1:16" s="11" customFormat="1" x14ac:dyDescent="0.35">
      <c r="A56" s="7">
        <v>48</v>
      </c>
      <c r="B56" s="7" t="inlineStr">
        <is>
          <t>2"-B3B-LPG-7302</t>
        </is>
      </c>
      <c r="C56" s="13" t="s">
        <v>48</v>
      </c>
      <c r="D56" s="8" t="s">
        <v>189</v>
      </c>
      <c r="E56" s="9" t="s">
        <v>190</v>
      </c>
      <c r="F56" s="20">
        <v>156.54239999999999</v>
      </c>
      <c r="G56" s="23">
        <v>27</v>
      </c>
      <c r="H56" s="10">
        <f t="shared" si="5"/>
        <v>46280.75</v>
      </c>
      <c r="I56" s="93" t="str">
        <f t="shared" si="6"/>
        <v>3º</v>
      </c>
      <c r="J56" s="141"/>
      <c r="K56" s="94" t="str">
        <f>IF(VLOOKUP(C56,'Crono Furui'!$C$2:$C$189,1,FALSE)="","VERIFICAR","OK")</f>
        <v>OK</v>
      </c>
      <c r="L56" s="91">
        <f>VLOOKUP(C56,'Crono Furui'!$C:$G,2,FALSE)</f>
        <v>0</v>
      </c>
      <c r="M56" s="90">
        <f>VLOOKUP(C56,'Crono Furui'!$C:$G,5,FALSE)</f>
        <v>46270.583333333336</v>
      </c>
      <c r="N56" s="111" t="str">
        <f t="shared" si="4"/>
        <v>ATENDE</v>
      </c>
      <c r="O56" s="134">
        <f t="shared" si="3"/>
        <v>0</v>
      </c>
      <c r="P56" s="138"/>
    </row>
    <row r="57" spans="1:16" s="11" customFormat="1" x14ac:dyDescent="0.35">
      <c r="A57" s="7">
        <v>49</v>
      </c>
      <c r="B57" s="7" t="inlineStr">
        <is>
          <t>2"-B3B-LPG-LIT7301A</t>
        </is>
      </c>
      <c r="C57" s="13" t="s">
        <v>49</v>
      </c>
      <c r="D57" s="8" t="s">
        <v>189</v>
      </c>
      <c r="E57" s="9" t="s">
        <v>190</v>
      </c>
      <c r="F57" s="20">
        <v>9.0159999999999982</v>
      </c>
      <c r="G57" s="23">
        <v>2</v>
      </c>
      <c r="H57" s="10">
        <f t="shared" si="5"/>
        <v>46280.75</v>
      </c>
      <c r="I57" s="93" t="str">
        <f t="shared" si="6"/>
        <v>3º</v>
      </c>
      <c r="J57" s="141"/>
      <c r="K57" s="94" t="str">
        <f>IF(VLOOKUP(C57,'Crono Furui'!$C$2:$C$189,1,FALSE)="","VERIFICAR","OK")</f>
        <v>OK</v>
      </c>
      <c r="L57" s="91">
        <f>VLOOKUP(C57,'Crono Furui'!$C:$G,2,FALSE)</f>
        <v>0</v>
      </c>
      <c r="M57" s="90">
        <f>VLOOKUP(C57,'Crono Furui'!$C:$G,5,FALSE)</f>
        <v>46270.583333333336</v>
      </c>
      <c r="N57" s="111" t="str">
        <f t="shared" si="4"/>
        <v>ATENDE</v>
      </c>
      <c r="O57" s="134">
        <f t="shared" si="3"/>
        <v>0</v>
      </c>
      <c r="P57" s="138"/>
    </row>
    <row r="58" spans="1:16" s="11" customFormat="1" x14ac:dyDescent="0.35">
      <c r="A58" s="7">
        <v>50</v>
      </c>
      <c r="B58" s="7" t="inlineStr">
        <is>
          <t>2"-B3B-LPG-LIT7301B</t>
        </is>
      </c>
      <c r="C58" s="13" t="s">
        <v>50</v>
      </c>
      <c r="D58" s="8" t="s">
        <v>189</v>
      </c>
      <c r="E58" s="9" t="s">
        <v>190</v>
      </c>
      <c r="F58" s="20">
        <v>9.0159999999999982</v>
      </c>
      <c r="G58" s="23">
        <v>2</v>
      </c>
      <c r="H58" s="10">
        <f t="shared" si="5"/>
        <v>46280.75</v>
      </c>
      <c r="I58" s="93" t="str">
        <f t="shared" si="6"/>
        <v>3º</v>
      </c>
      <c r="J58" s="141"/>
      <c r="K58" s="94" t="str">
        <f>IF(VLOOKUP(C58,'Crono Furui'!$C$2:$C$189,1,FALSE)="","VERIFICAR","OK")</f>
        <v>OK</v>
      </c>
      <c r="L58" s="91">
        <f>VLOOKUP(C58,'Crono Furui'!$C:$G,2,FALSE)</f>
        <v>0</v>
      </c>
      <c r="M58" s="90">
        <f>VLOOKUP(C58,'Crono Furui'!$C:$G,5,FALSE)</f>
        <v>46270.583333333336</v>
      </c>
      <c r="N58" s="111" t="str">
        <f t="shared" si="4"/>
        <v>ATENDE</v>
      </c>
      <c r="O58" s="134">
        <f t="shared" si="3"/>
        <v>0</v>
      </c>
      <c r="P58" s="138"/>
    </row>
    <row r="59" spans="1:16" s="11" customFormat="1" x14ac:dyDescent="0.35">
      <c r="A59" s="7">
        <v>51</v>
      </c>
      <c r="B59" s="7" t="inlineStr">
        <is>
          <t>2"-B3B-NG-0305</t>
        </is>
      </c>
      <c r="C59" s="13" t="s">
        <v>51</v>
      </c>
      <c r="D59" s="8" t="s">
        <v>203</v>
      </c>
      <c r="E59" s="9" t="s">
        <v>190</v>
      </c>
      <c r="F59" s="20">
        <v>18.026400000000002</v>
      </c>
      <c r="G59" s="23">
        <v>8</v>
      </c>
      <c r="H59" s="10">
        <f t="shared" si="5"/>
        <v>46280.75</v>
      </c>
      <c r="I59" s="93" t="str">
        <f t="shared" si="6"/>
        <v>3º</v>
      </c>
      <c r="J59" s="141"/>
      <c r="K59" s="94" t="str">
        <f>IF(VLOOKUP(C59,'Crono Furui'!$C$2:$C$189,1,FALSE)="","VERIFICAR","OK")</f>
        <v>OK</v>
      </c>
      <c r="L59" s="91">
        <f>VLOOKUP(C59,'Crono Furui'!$C:$G,2,FALSE)</f>
        <v>0</v>
      </c>
      <c r="M59" s="90">
        <f>VLOOKUP(C59,'Crono Furui'!$C:$G,5,FALSE)</f>
        <v>46271.5</v>
      </c>
      <c r="N59" s="111" t="str">
        <f t="shared" si="4"/>
        <v>ATENDE</v>
      </c>
      <c r="O59" s="134">
        <f t="shared" si="3"/>
        <v>0</v>
      </c>
      <c r="P59" s="138"/>
    </row>
    <row r="60" spans="1:16" s="11" customFormat="1" x14ac:dyDescent="0.35">
      <c r="A60" s="7">
        <v>52</v>
      </c>
      <c r="B60" s="7" t="inlineStr">
        <is>
          <t>2"-B3B-NG-7301</t>
        </is>
      </c>
      <c r="C60" s="13" t="s">
        <v>52</v>
      </c>
      <c r="D60" s="8" t="s">
        <v>203</v>
      </c>
      <c r="E60" s="9" t="s">
        <v>190</v>
      </c>
      <c r="F60" s="20">
        <v>168.8416</v>
      </c>
      <c r="G60" s="23">
        <v>25</v>
      </c>
      <c r="H60" s="10">
        <f t="shared" si="5"/>
        <v>46280.75</v>
      </c>
      <c r="I60" s="93" t="str">
        <f t="shared" si="6"/>
        <v>3º</v>
      </c>
      <c r="J60" s="141"/>
      <c r="K60" s="94" t="str">
        <f>IF(VLOOKUP(C60,'Crono Furui'!$C$2:$C$189,1,FALSE)="","VERIFICAR","OK")</f>
        <v>OK</v>
      </c>
      <c r="L60" s="91">
        <f>VLOOKUP(C60,'Crono Furui'!$C:$G,2,FALSE)</f>
        <v>0</v>
      </c>
      <c r="M60" s="90">
        <f>VLOOKUP(C60,'Crono Furui'!$C:$G,5,FALSE)</f>
        <v>46271.5</v>
      </c>
      <c r="N60" s="111" t="str">
        <f t="shared" si="4"/>
        <v>ATENDE</v>
      </c>
      <c r="O60" s="134">
        <f t="shared" si="3"/>
        <v>0</v>
      </c>
      <c r="P60" s="138"/>
    </row>
    <row r="61" spans="1:16" s="11" customFormat="1" x14ac:dyDescent="0.35">
      <c r="A61" s="7">
        <v>53</v>
      </c>
      <c r="B61" s="7" t="inlineStr">
        <is>
          <t>2"-B3B-WW-7302</t>
        </is>
      </c>
      <c r="C61" s="13" t="s">
        <v>53</v>
      </c>
      <c r="D61" s="8" t="s">
        <v>189</v>
      </c>
      <c r="E61" s="9" t="s">
        <v>190</v>
      </c>
      <c r="F61" s="20">
        <v>0.35</v>
      </c>
      <c r="G61" s="23">
        <v>1</v>
      </c>
      <c r="H61" s="10">
        <f t="shared" si="5"/>
        <v>46280.75</v>
      </c>
      <c r="I61" s="93" t="str">
        <f t="shared" si="6"/>
        <v>3º</v>
      </c>
      <c r="J61" s="141"/>
      <c r="K61" s="94" t="str">
        <f>IF(VLOOKUP(C61,'Crono Furui'!$C$2:$C$189,1,FALSE)="","VERIFICAR","OK")</f>
        <v>OK</v>
      </c>
      <c r="L61" s="91">
        <f>VLOOKUP(C61,'Crono Furui'!$C:$G,2,FALSE)</f>
        <v>0</v>
      </c>
      <c r="M61" s="90">
        <f>VLOOKUP(C61,'Crono Furui'!$C:$G,5,FALSE)</f>
        <v>46271.5</v>
      </c>
      <c r="N61" s="111" t="str">
        <f t="shared" si="4"/>
        <v>ATENDE</v>
      </c>
      <c r="O61" s="134">
        <f t="shared" si="3"/>
        <v>0</v>
      </c>
      <c r="P61" s="138"/>
    </row>
    <row r="62" spans="1:16" s="11" customFormat="1" x14ac:dyDescent="0.35">
      <c r="A62" s="7">
        <v>54</v>
      </c>
      <c r="B62" s="7" t="inlineStr">
        <is>
          <t>2"-D1E-LPG-4002A</t>
        </is>
      </c>
      <c r="C62" s="13" t="s">
        <v>54</v>
      </c>
      <c r="D62" s="8" t="s">
        <v>186</v>
      </c>
      <c r="E62" s="9" t="s">
        <v>183</v>
      </c>
      <c r="F62" s="20">
        <v>38.734400000000001</v>
      </c>
      <c r="G62" s="23">
        <v>12</v>
      </c>
      <c r="H62" s="10">
        <f t="shared" si="5"/>
        <v>46251.75</v>
      </c>
      <c r="I62" s="93" t="str">
        <f t="shared" si="6"/>
        <v>1º</v>
      </c>
      <c r="J62" s="141">
        <v>46254</v>
      </c>
      <c r="K62" s="94" t="str">
        <f>IF(VLOOKUP(C62,'Crono Furui'!$C$2:$C$189,1,FALSE)="","VERIFICAR","OK")</f>
        <v>OK</v>
      </c>
      <c r="L62" s="91">
        <f>VLOOKUP(C62,'Crono Furui'!$C:$G,2,FALSE)</f>
        <v>1</v>
      </c>
      <c r="M62" s="90">
        <f>VLOOKUP(C62,'Crono Furui'!$C:$G,5,FALSE)</f>
        <v>46251.5</v>
      </c>
      <c r="N62" s="111" t="str">
        <f t="shared" si="4"/>
        <v>ATENDE</v>
      </c>
      <c r="O62" s="134">
        <f t="shared" si="3"/>
        <v>38.734400000000001</v>
      </c>
      <c r="P62" s="138"/>
    </row>
    <row r="63" spans="1:16" s="11" customFormat="1" x14ac:dyDescent="0.35">
      <c r="A63" s="7">
        <v>55</v>
      </c>
      <c r="B63" s="7" t="inlineStr">
        <is>
          <t>24"-B1E-MR-4012A</t>
        </is>
      </c>
      <c r="C63" s="13" t="s">
        <v>55</v>
      </c>
      <c r="D63" s="8" t="s">
        <v>186</v>
      </c>
      <c r="E63" s="9" t="s">
        <v>183</v>
      </c>
      <c r="F63" s="20">
        <v>1720.9357000000002</v>
      </c>
      <c r="G63" s="23">
        <v>12</v>
      </c>
      <c r="H63" s="10">
        <f t="shared" si="5"/>
        <v>46251.75</v>
      </c>
      <c r="I63" s="93" t="str">
        <f t="shared" si="6"/>
        <v>1º</v>
      </c>
      <c r="J63" s="141">
        <v>46262</v>
      </c>
      <c r="K63" s="130" t="str">
        <f>IF(VLOOKUP(C63,'Crono Furui'!$C$2:$C$189,1,FALSE)="","VERIFICAR","OK")</f>
        <v>OK</v>
      </c>
      <c r="L63" s="131">
        <f>VLOOKUP(C63,'Crono Furui'!$C:$G,2,FALSE)</f>
        <v>1</v>
      </c>
      <c r="M63" s="132">
        <f>VLOOKUP(C63,'Crono Furui'!$C:$G,5,FALSE)</f>
        <v>46252.458333333336</v>
      </c>
      <c r="N63" s="112">
        <f t="shared" si="4"/>
        <v>1</v>
      </c>
      <c r="O63" s="135">
        <f t="shared" si="3"/>
        <v>1720.9357000000002</v>
      </c>
      <c r="P63" s="139" t="s">
        <v>525</v>
      </c>
    </row>
    <row r="64" spans="1:16" s="11" customFormat="1" x14ac:dyDescent="0.35">
      <c r="A64" s="7">
        <v>56</v>
      </c>
      <c r="B64" s="7" t="inlineStr">
        <is>
          <t>24"-B1E-MR-5003A</t>
        </is>
      </c>
      <c r="C64" s="13" t="s">
        <v>56</v>
      </c>
      <c r="D64" s="8" t="s">
        <v>188</v>
      </c>
      <c r="E64" s="9" t="s">
        <v>183</v>
      </c>
      <c r="F64" s="20">
        <v>2252.0688999999998</v>
      </c>
      <c r="G64" s="23">
        <v>15</v>
      </c>
      <c r="H64" s="10">
        <f t="shared" si="5"/>
        <v>46251.75</v>
      </c>
      <c r="I64" s="93" t="str">
        <f t="shared" si="6"/>
        <v>1º</v>
      </c>
      <c r="J64" s="141">
        <v>46262</v>
      </c>
      <c r="K64" s="94" t="str">
        <f>IF(VLOOKUP(C64,'Crono Furui'!$C$2:$C$189,1,FALSE)="","VERIFICAR","OK")</f>
        <v>OK</v>
      </c>
      <c r="L64" s="91">
        <f>VLOOKUP(C64,'Crono Furui'!$C:$G,2,FALSE)</f>
        <v>0.4</v>
      </c>
      <c r="M64" s="90">
        <f>VLOOKUP(C64,'Crono Furui'!$C:$G,5,FALSE)</f>
        <v>46252.458333333336</v>
      </c>
      <c r="N64" s="112">
        <f t="shared" si="4"/>
        <v>1</v>
      </c>
      <c r="O64" s="134">
        <f t="shared" si="3"/>
        <v>900.82755999999995</v>
      </c>
      <c r="P64" s="138"/>
    </row>
    <row r="65" spans="1:16" s="11" customFormat="1" x14ac:dyDescent="0.35">
      <c r="A65" s="7">
        <v>57</v>
      </c>
      <c r="B65" s="7" t="inlineStr">
        <is>
          <t>3"-A1E-BOG-7101A</t>
        </is>
      </c>
      <c r="C65" s="13" t="s">
        <v>57</v>
      </c>
      <c r="D65" s="8" t="s">
        <v>204</v>
      </c>
      <c r="E65" s="9" t="s">
        <v>195</v>
      </c>
      <c r="F65" s="20">
        <v>24.747499999999999</v>
      </c>
      <c r="G65" s="23">
        <v>6</v>
      </c>
      <c r="H65" s="10">
        <f t="shared" si="5"/>
        <v>46287.75</v>
      </c>
      <c r="I65" s="93" t="str">
        <f t="shared" si="6"/>
        <v>4º</v>
      </c>
      <c r="J65" s="141"/>
      <c r="K65" s="94" t="str">
        <f>IF(VLOOKUP(C65,'Crono Furui'!$C$2:$C$189,1,FALSE)="","VERIFICAR","OK")</f>
        <v>OK</v>
      </c>
      <c r="L65" s="91">
        <f>VLOOKUP(C65,'Crono Furui'!$C:$G,2,FALSE)</f>
        <v>0</v>
      </c>
      <c r="M65" s="90">
        <f>VLOOKUP(C65,'Crono Furui'!$C:$G,5,FALSE)</f>
        <v>46285.416666666664</v>
      </c>
      <c r="N65" s="111" t="str">
        <f t="shared" si="4"/>
        <v>ATENDE</v>
      </c>
      <c r="O65" s="134">
        <f t="shared" si="3"/>
        <v>0</v>
      </c>
      <c r="P65" s="138"/>
    </row>
    <row r="66" spans="1:16" s="11" customFormat="1" x14ac:dyDescent="0.35">
      <c r="A66" s="7">
        <v>58</v>
      </c>
      <c r="B66" s="7" t="inlineStr">
        <is>
          <t>3"-A1E-BOG-7101B</t>
        </is>
      </c>
      <c r="C66" s="13" t="s">
        <v>58</v>
      </c>
      <c r="D66" s="8" t="s">
        <v>205</v>
      </c>
      <c r="E66" s="9" t="s">
        <v>195</v>
      </c>
      <c r="F66" s="20">
        <v>28.093</v>
      </c>
      <c r="G66" s="23">
        <v>8</v>
      </c>
      <c r="H66" s="10">
        <f t="shared" si="5"/>
        <v>46287.75</v>
      </c>
      <c r="I66" s="93" t="str">
        <f t="shared" si="6"/>
        <v>4º</v>
      </c>
      <c r="J66" s="141"/>
      <c r="K66" s="94" t="str">
        <f>IF(VLOOKUP(C66,'Crono Furui'!$C$2:$C$189,1,FALSE)="","VERIFICAR","OK")</f>
        <v>OK</v>
      </c>
      <c r="L66" s="91">
        <f>VLOOKUP(C66,'Crono Furui'!$C:$G,2,FALSE)</f>
        <v>0</v>
      </c>
      <c r="M66" s="90">
        <f>VLOOKUP(C66,'Crono Furui'!$C:$G,5,FALSE)</f>
        <v>46285.416666666664</v>
      </c>
      <c r="N66" s="111" t="str">
        <f t="shared" si="4"/>
        <v>ATENDE</v>
      </c>
      <c r="O66" s="134">
        <f t="shared" si="3"/>
        <v>0</v>
      </c>
      <c r="P66" s="138"/>
    </row>
    <row r="67" spans="1:16" s="11" customFormat="1" x14ac:dyDescent="0.35">
      <c r="A67" s="7">
        <v>59</v>
      </c>
      <c r="B67" s="7" t="inlineStr">
        <is>
          <t>3"-A1E-CF-4102</t>
        </is>
      </c>
      <c r="C67" s="13" t="s">
        <v>59</v>
      </c>
      <c r="D67" s="8" t="s">
        <v>188</v>
      </c>
      <c r="E67" s="9" t="s">
        <v>183</v>
      </c>
      <c r="F67" s="20">
        <v>13.8675</v>
      </c>
      <c r="G67" s="23">
        <v>18</v>
      </c>
      <c r="H67" s="10">
        <f t="shared" si="5"/>
        <v>46251.75</v>
      </c>
      <c r="I67" s="93" t="str">
        <f t="shared" si="6"/>
        <v>1º</v>
      </c>
      <c r="J67" s="141">
        <v>46262</v>
      </c>
      <c r="K67" s="94" t="str">
        <f>IF(VLOOKUP(C67,'Crono Furui'!$C$2:$C$189,1,FALSE)="","VERIFICAR","OK")</f>
        <v>OK</v>
      </c>
      <c r="L67" s="91">
        <f>VLOOKUP(C67,'Crono Furui'!$C:$G,2,FALSE)</f>
        <v>0.4</v>
      </c>
      <c r="M67" s="90">
        <f>VLOOKUP(C67,'Crono Furui'!$C:$G,5,FALSE)</f>
        <v>46251.5</v>
      </c>
      <c r="N67" s="111" t="str">
        <f t="shared" si="4"/>
        <v>ATENDE</v>
      </c>
      <c r="O67" s="134">
        <f t="shared" si="3"/>
        <v>5.5470000000000006</v>
      </c>
      <c r="P67" s="138"/>
    </row>
    <row r="68" spans="1:16" s="11" customFormat="1" x14ac:dyDescent="0.35">
      <c r="A68" s="7">
        <v>60</v>
      </c>
      <c r="B68" s="7" t="inlineStr">
        <is>
          <t>3"-A1E-CF-7108A</t>
        </is>
      </c>
      <c r="C68" s="13" t="s">
        <v>60</v>
      </c>
      <c r="D68" s="8" t="s">
        <v>201</v>
      </c>
      <c r="E68" s="9" t="s">
        <v>195</v>
      </c>
      <c r="F68" s="20">
        <v>37.546500000000009</v>
      </c>
      <c r="G68" s="23">
        <v>13</v>
      </c>
      <c r="H68" s="10">
        <f t="shared" si="5"/>
        <v>46287.75</v>
      </c>
      <c r="I68" s="93" t="str">
        <f t="shared" si="6"/>
        <v>4º</v>
      </c>
      <c r="J68" s="141"/>
      <c r="K68" s="94" t="str">
        <f>IF(VLOOKUP(C68,'Crono Furui'!$C$2:$C$189,1,FALSE)="","VERIFICAR","OK")</f>
        <v>OK</v>
      </c>
      <c r="L68" s="91">
        <f>VLOOKUP(C68,'Crono Furui'!$C:$G,2,FALSE)</f>
        <v>0</v>
      </c>
      <c r="M68" s="90">
        <f>VLOOKUP(C68,'Crono Furui'!$C:$G,5,FALSE)</f>
        <v>46285.416666666664</v>
      </c>
      <c r="N68" s="111" t="str">
        <f t="shared" si="4"/>
        <v>ATENDE</v>
      </c>
      <c r="O68" s="134">
        <f t="shared" si="3"/>
        <v>0</v>
      </c>
      <c r="P68" s="138"/>
    </row>
    <row r="69" spans="1:16" s="11" customFormat="1" x14ac:dyDescent="0.35">
      <c r="A69" s="7">
        <v>61</v>
      </c>
      <c r="B69" s="7" t="inlineStr">
        <is>
          <t>3"-A1E-CF-7108B</t>
        </is>
      </c>
      <c r="C69" s="13" t="s">
        <v>61</v>
      </c>
      <c r="D69" s="8" t="s">
        <v>201</v>
      </c>
      <c r="E69" s="9" t="s">
        <v>195</v>
      </c>
      <c r="F69" s="20">
        <v>37.601000000000006</v>
      </c>
      <c r="G69" s="23">
        <v>13</v>
      </c>
      <c r="H69" s="10">
        <f t="shared" si="5"/>
        <v>46287.75</v>
      </c>
      <c r="I69" s="93" t="str">
        <f t="shared" si="6"/>
        <v>4º</v>
      </c>
      <c r="J69" s="141"/>
      <c r="K69" s="94" t="str">
        <f>IF(VLOOKUP(C69,'Crono Furui'!$C$2:$C$189,1,FALSE)="","VERIFICAR","OK")</f>
        <v>OK</v>
      </c>
      <c r="L69" s="91">
        <f>VLOOKUP(C69,'Crono Furui'!$C:$G,2,FALSE)</f>
        <v>0</v>
      </c>
      <c r="M69" s="90">
        <f>VLOOKUP(C69,'Crono Furui'!$C:$G,5,FALSE)</f>
        <v>46285.416666666664</v>
      </c>
      <c r="N69" s="111" t="str">
        <f t="shared" si="4"/>
        <v>ATENDE</v>
      </c>
      <c r="O69" s="134">
        <f t="shared" si="3"/>
        <v>0</v>
      </c>
      <c r="P69" s="138"/>
    </row>
    <row r="70" spans="1:16" s="11" customFormat="1" x14ac:dyDescent="0.35">
      <c r="A70" s="7">
        <v>62</v>
      </c>
      <c r="B70" s="7" t="inlineStr">
        <is>
          <t>3"-A3B-FG-8105</t>
        </is>
      </c>
      <c r="C70" s="13" t="s">
        <v>62</v>
      </c>
      <c r="D70" s="8" t="s">
        <v>206</v>
      </c>
      <c r="E70" s="9" t="s">
        <v>185</v>
      </c>
      <c r="F70" s="20">
        <v>212.04929999999999</v>
      </c>
      <c r="G70" s="23">
        <v>17</v>
      </c>
      <c r="H70" s="10">
        <f t="shared" si="5"/>
        <v>46280.75</v>
      </c>
      <c r="I70" s="93" t="str">
        <f t="shared" si="6"/>
        <v>3º</v>
      </c>
      <c r="J70" s="141"/>
      <c r="K70" s="94" t="str">
        <f>IF(VLOOKUP(C70,'Crono Furui'!$C$2:$C$189,1,FALSE)="","VERIFICAR","OK")</f>
        <v>OK</v>
      </c>
      <c r="L70" s="91">
        <f>VLOOKUP(C70,'Crono Furui'!$C:$G,2,FALSE)</f>
        <v>0</v>
      </c>
      <c r="M70" s="90">
        <f>VLOOKUP(C70,'Crono Furui'!$C:$G,5,FALSE)</f>
        <v>46272.458333333336</v>
      </c>
      <c r="N70" s="111" t="str">
        <f t="shared" si="4"/>
        <v>ATENDE</v>
      </c>
      <c r="O70" s="134">
        <f t="shared" si="3"/>
        <v>0</v>
      </c>
      <c r="P70" s="138"/>
    </row>
    <row r="71" spans="1:16" s="11" customFormat="1" x14ac:dyDescent="0.35">
      <c r="A71" s="7">
        <v>63</v>
      </c>
      <c r="B71" s="7" t="inlineStr">
        <is>
          <t>3"-A3B-HM-8201</t>
        </is>
      </c>
      <c r="C71" s="13" t="s">
        <v>63</v>
      </c>
      <c r="D71" s="8" t="s">
        <v>206</v>
      </c>
      <c r="E71" s="9" t="s">
        <v>185</v>
      </c>
      <c r="F71" s="20">
        <v>4.5</v>
      </c>
      <c r="G71" s="23">
        <v>21</v>
      </c>
      <c r="H71" s="10">
        <f t="shared" si="5"/>
        <v>46280.75</v>
      </c>
      <c r="I71" s="93" t="str">
        <f t="shared" si="6"/>
        <v>3º</v>
      </c>
      <c r="J71" s="141"/>
      <c r="K71" s="94" t="str">
        <f>IF(VLOOKUP(C71,'Crono Furui'!$C$2:$C$189,1,FALSE)="","VERIFICAR","OK")</f>
        <v>OK</v>
      </c>
      <c r="L71" s="91">
        <f>VLOOKUP(C71,'Crono Furui'!$C:$G,2,FALSE)</f>
        <v>0</v>
      </c>
      <c r="M71" s="90">
        <f>VLOOKUP(C71,'Crono Furui'!$C:$G,5,FALSE)</f>
        <v>46272.458333333336</v>
      </c>
      <c r="N71" s="111" t="str">
        <f t="shared" si="4"/>
        <v>ATENDE</v>
      </c>
      <c r="O71" s="134">
        <f t="shared" si="3"/>
        <v>0</v>
      </c>
      <c r="P71" s="138"/>
    </row>
    <row r="72" spans="1:16" s="11" customFormat="1" x14ac:dyDescent="0.35">
      <c r="A72" s="7">
        <v>64</v>
      </c>
      <c r="B72" s="7" t="inlineStr">
        <is>
          <t>3"-A3B-NG-7401</t>
        </is>
      </c>
      <c r="C72" s="13" t="s">
        <v>64</v>
      </c>
      <c r="D72" s="8" t="s">
        <v>203</v>
      </c>
      <c r="E72" s="9" t="s">
        <v>190</v>
      </c>
      <c r="F72" s="20">
        <v>71.814340000000001</v>
      </c>
      <c r="G72" s="23">
        <v>14</v>
      </c>
      <c r="H72" s="10">
        <f t="shared" si="5"/>
        <v>46280.75</v>
      </c>
      <c r="I72" s="93" t="str">
        <f t="shared" si="6"/>
        <v>3º</v>
      </c>
      <c r="J72" s="141"/>
      <c r="K72" s="94" t="str">
        <f>IF(VLOOKUP(C72,'Crono Furui'!$C$2:$C$189,1,FALSE)="","VERIFICAR","OK")</f>
        <v>OK</v>
      </c>
      <c r="L72" s="91">
        <f>VLOOKUP(C72,'Crono Furui'!$C:$G,2,FALSE)</f>
        <v>0</v>
      </c>
      <c r="M72" s="90">
        <f>VLOOKUP(C72,'Crono Furui'!$C:$G,5,FALSE)</f>
        <v>46272.458333333336</v>
      </c>
      <c r="N72" s="111" t="str">
        <f t="shared" si="4"/>
        <v>ATENDE</v>
      </c>
      <c r="O72" s="134">
        <f t="shared" si="3"/>
        <v>0</v>
      </c>
      <c r="P72" s="138"/>
    </row>
    <row r="73" spans="1:16" s="11" customFormat="1" x14ac:dyDescent="0.35">
      <c r="A73" s="7">
        <v>65</v>
      </c>
      <c r="B73" s="7" t="inlineStr">
        <is>
          <t>3"-B3B-MR-5305B</t>
        </is>
      </c>
      <c r="C73" s="13" t="s">
        <v>65</v>
      </c>
      <c r="D73" s="8" t="s">
        <v>192</v>
      </c>
      <c r="E73" s="9" t="s">
        <v>183</v>
      </c>
      <c r="F73" s="20">
        <v>204.34889999999999</v>
      </c>
      <c r="G73" s="23">
        <v>10</v>
      </c>
      <c r="H73" s="10">
        <f t="shared" ref="H73:H104" si="7">VLOOKUP(D73,$D$195:$F$231,3,FALSE)</f>
        <v>46265.75</v>
      </c>
      <c r="I73" s="93" t="str">
        <f t="shared" ref="I73:I104" si="8">VLOOKUP(H73,$H$197:$I$200,2,FALSE)</f>
        <v>2º</v>
      </c>
      <c r="J73" s="141">
        <v>46268</v>
      </c>
      <c r="K73" s="94" t="str">
        <f>IF(VLOOKUP(C73,'Crono Furui'!$C$2:$C$189,1,FALSE)="","VERIFICAR","OK")</f>
        <v>OK</v>
      </c>
      <c r="L73" s="91">
        <f>VLOOKUP(C73,'Crono Furui'!$C:$G,2,FALSE)</f>
        <v>0</v>
      </c>
      <c r="M73" s="90">
        <f>VLOOKUP(C73,'Crono Furui'!$C:$G,5,FALSE)</f>
        <v>46260.625</v>
      </c>
      <c r="N73" s="111" t="str">
        <f t="shared" si="4"/>
        <v>ATENDE</v>
      </c>
      <c r="O73" s="134">
        <f t="shared" ref="O73:O136" si="9">L73*F73</f>
        <v>0</v>
      </c>
      <c r="P73" s="138"/>
    </row>
    <row r="74" spans="1:16" s="11" customFormat="1" x14ac:dyDescent="0.35">
      <c r="A74" s="7">
        <v>66</v>
      </c>
      <c r="B74" s="7" t="inlineStr">
        <is>
          <t>3"-B3B-MR-5505A</t>
        </is>
      </c>
      <c r="C74" s="13" t="s">
        <v>66</v>
      </c>
      <c r="D74" s="8" t="s">
        <v>192</v>
      </c>
      <c r="E74" s="9" t="s">
        <v>183</v>
      </c>
      <c r="F74" s="20">
        <v>199.83449999999999</v>
      </c>
      <c r="G74" s="23">
        <v>10</v>
      </c>
      <c r="H74" s="10">
        <f t="shared" si="7"/>
        <v>46265.75</v>
      </c>
      <c r="I74" s="93" t="str">
        <f t="shared" si="8"/>
        <v>2º</v>
      </c>
      <c r="J74" s="141">
        <v>46267</v>
      </c>
      <c r="K74" s="94" t="str">
        <f>IF(VLOOKUP(C74,'Crono Furui'!$C$2:$C$189,1,FALSE)="","VERIFICAR","OK")</f>
        <v>OK</v>
      </c>
      <c r="L74" s="91">
        <f>VLOOKUP(C74,'Crono Furui'!$C:$G,2,FALSE)</f>
        <v>0</v>
      </c>
      <c r="M74" s="90">
        <f>VLOOKUP(C74,'Crono Furui'!$C:$G,5,FALSE)</f>
        <v>46260.625</v>
      </c>
      <c r="N74" s="111" t="str">
        <f t="shared" ref="N74:N137" si="10">IF(M74&gt;H74=FALSE,"ATENDE",ROUNDUP(M74-H74,0))</f>
        <v>ATENDE</v>
      </c>
      <c r="O74" s="134">
        <f t="shared" si="9"/>
        <v>0</v>
      </c>
      <c r="P74" s="138"/>
    </row>
    <row r="75" spans="1:16" s="11" customFormat="1" x14ac:dyDescent="0.35">
      <c r="A75" s="7">
        <v>67</v>
      </c>
      <c r="B75" s="7" t="inlineStr">
        <is>
          <t>3/4"-A3B-CWS-0603</t>
        </is>
      </c>
      <c r="C75" s="13" t="s">
        <v>67</v>
      </c>
      <c r="D75" s="8" t="s">
        <v>184</v>
      </c>
      <c r="E75" s="9" t="s">
        <v>185</v>
      </c>
      <c r="F75" s="20">
        <v>8</v>
      </c>
      <c r="G75" s="23">
        <v>6</v>
      </c>
      <c r="H75" s="10">
        <f t="shared" si="7"/>
        <v>46280.75</v>
      </c>
      <c r="I75" s="93" t="str">
        <f t="shared" si="8"/>
        <v>3º</v>
      </c>
      <c r="J75" s="141"/>
      <c r="K75" s="94" t="str">
        <f>IF(VLOOKUP(C75,'Crono Furui'!$C$2:$C$189,1,FALSE)="","VERIFICAR","OK")</f>
        <v>OK</v>
      </c>
      <c r="L75" s="91">
        <f>VLOOKUP(C75,'Crono Furui'!$C:$G,2,FALSE)</f>
        <v>0</v>
      </c>
      <c r="M75" s="90">
        <f>VLOOKUP(C75,'Crono Furui'!$C:$G,5,FALSE)</f>
        <v>46273.416666666664</v>
      </c>
      <c r="N75" s="111" t="str">
        <f t="shared" si="10"/>
        <v>ATENDE</v>
      </c>
      <c r="O75" s="134">
        <f t="shared" si="9"/>
        <v>0</v>
      </c>
      <c r="P75" s="138"/>
    </row>
    <row r="76" spans="1:16" s="11" customFormat="1" x14ac:dyDescent="0.35">
      <c r="A76" s="7">
        <v>68</v>
      </c>
      <c r="B76" s="7" t="inlineStr">
        <is>
          <t>3/4"-A3B-CWS-0604</t>
        </is>
      </c>
      <c r="C76" s="13" t="s">
        <v>68</v>
      </c>
      <c r="D76" s="8" t="s">
        <v>184</v>
      </c>
      <c r="E76" s="9" t="s">
        <v>185</v>
      </c>
      <c r="F76" s="20">
        <v>8</v>
      </c>
      <c r="G76" s="23">
        <v>8</v>
      </c>
      <c r="H76" s="10">
        <f t="shared" si="7"/>
        <v>46280.75</v>
      </c>
      <c r="I76" s="93" t="str">
        <f t="shared" si="8"/>
        <v>3º</v>
      </c>
      <c r="J76" s="141"/>
      <c r="K76" s="94" t="str">
        <f>IF(VLOOKUP(C76,'Crono Furui'!$C$2:$C$189,1,FALSE)="","VERIFICAR","OK")</f>
        <v>OK</v>
      </c>
      <c r="L76" s="91">
        <f>VLOOKUP(C76,'Crono Furui'!$C:$G,2,FALSE)</f>
        <v>0</v>
      </c>
      <c r="M76" s="90">
        <f>VLOOKUP(C76,'Crono Furui'!$C:$G,5,FALSE)</f>
        <v>46273.416666666664</v>
      </c>
      <c r="N76" s="111" t="str">
        <f t="shared" si="10"/>
        <v>ATENDE</v>
      </c>
      <c r="O76" s="134">
        <f t="shared" si="9"/>
        <v>0</v>
      </c>
      <c r="P76" s="138"/>
    </row>
    <row r="77" spans="1:16" s="11" customFormat="1" x14ac:dyDescent="0.35">
      <c r="A77" s="7">
        <v>69</v>
      </c>
      <c r="B77" s="7" t="inlineStr">
        <is>
          <t>3/4"-A3B-CWS-0605</t>
        </is>
      </c>
      <c r="C77" s="13" t="s">
        <v>69</v>
      </c>
      <c r="D77" s="8" t="s">
        <v>184</v>
      </c>
      <c r="E77" s="9" t="s">
        <v>185</v>
      </c>
      <c r="F77" s="20">
        <v>20</v>
      </c>
      <c r="G77" s="23">
        <v>18</v>
      </c>
      <c r="H77" s="10">
        <f t="shared" si="7"/>
        <v>46280.75</v>
      </c>
      <c r="I77" s="93" t="str">
        <f t="shared" si="8"/>
        <v>3º</v>
      </c>
      <c r="J77" s="141"/>
      <c r="K77" s="94" t="str">
        <f>IF(VLOOKUP(C77,'Crono Furui'!$C$2:$C$189,1,FALSE)="","VERIFICAR","OK")</f>
        <v>OK</v>
      </c>
      <c r="L77" s="91">
        <f>VLOOKUP(C77,'Crono Furui'!$C:$G,2,FALSE)</f>
        <v>0</v>
      </c>
      <c r="M77" s="90">
        <f>VLOOKUP(C77,'Crono Furui'!$C:$G,5,FALSE)</f>
        <v>46273.416666666664</v>
      </c>
      <c r="N77" s="111" t="str">
        <f t="shared" si="10"/>
        <v>ATENDE</v>
      </c>
      <c r="O77" s="134">
        <f t="shared" si="9"/>
        <v>0</v>
      </c>
      <c r="P77" s="138"/>
    </row>
    <row r="78" spans="1:16" s="11" customFormat="1" x14ac:dyDescent="0.35">
      <c r="A78" s="7">
        <v>70</v>
      </c>
      <c r="B78" s="7" t="inlineStr">
        <is>
          <t>4"-A3B-BOG-7204</t>
        </is>
      </c>
      <c r="C78" s="13" t="s">
        <v>70</v>
      </c>
      <c r="D78" s="8" t="s">
        <v>207</v>
      </c>
      <c r="E78" s="9" t="s">
        <v>190</v>
      </c>
      <c r="F78" s="20">
        <v>277.06689</v>
      </c>
      <c r="G78" s="23">
        <v>23</v>
      </c>
      <c r="H78" s="10">
        <f t="shared" si="7"/>
        <v>46280.75</v>
      </c>
      <c r="I78" s="93" t="str">
        <f t="shared" si="8"/>
        <v>3º</v>
      </c>
      <c r="J78" s="141"/>
      <c r="K78" s="94" t="str">
        <f>IF(VLOOKUP(C78,'Crono Furui'!$C$2:$C$189,1,FALSE)="","VERIFICAR","OK")</f>
        <v>OK</v>
      </c>
      <c r="L78" s="91">
        <f>VLOOKUP(C78,'Crono Furui'!$C:$G,2,FALSE)</f>
        <v>0</v>
      </c>
      <c r="M78" s="90">
        <f>VLOOKUP(C78,'Crono Furui'!$C:$G,5,FALSE)</f>
        <v>46273.416666666664</v>
      </c>
      <c r="N78" s="111" t="str">
        <f t="shared" si="10"/>
        <v>ATENDE</v>
      </c>
      <c r="O78" s="134">
        <f t="shared" si="9"/>
        <v>0</v>
      </c>
      <c r="P78" s="138"/>
    </row>
    <row r="79" spans="1:16" s="11" customFormat="1" x14ac:dyDescent="0.35">
      <c r="A79" s="7">
        <v>71</v>
      </c>
      <c r="B79" s="7" t="inlineStr">
        <is>
          <t>4"-A3B-HF-4006A</t>
        </is>
      </c>
      <c r="C79" s="13" t="s">
        <v>71</v>
      </c>
      <c r="D79" s="8" t="s">
        <v>188</v>
      </c>
      <c r="E79" s="9" t="s">
        <v>183</v>
      </c>
      <c r="F79" s="20">
        <v>53.271999999999998</v>
      </c>
      <c r="G79" s="23">
        <v>14</v>
      </c>
      <c r="H79" s="10">
        <f t="shared" si="7"/>
        <v>46251.75</v>
      </c>
      <c r="I79" s="93" t="str">
        <f t="shared" si="8"/>
        <v>1º</v>
      </c>
      <c r="J79" s="141">
        <v>46262</v>
      </c>
      <c r="K79" s="94" t="str">
        <f>IF(VLOOKUP(C79,'Crono Furui'!$C$2:$C$189,1,FALSE)="","VERIFICAR","OK")</f>
        <v>OK</v>
      </c>
      <c r="L79" s="91">
        <f>VLOOKUP(C79,'Crono Furui'!$C:$G,2,FALSE)</f>
        <v>0.4</v>
      </c>
      <c r="M79" s="90">
        <f>VLOOKUP(C79,'Crono Furui'!$C:$G,5,FALSE)</f>
        <v>46252.458333333336</v>
      </c>
      <c r="N79" s="112">
        <f t="shared" si="10"/>
        <v>1</v>
      </c>
      <c r="O79" s="134">
        <f t="shared" si="9"/>
        <v>21.308800000000002</v>
      </c>
      <c r="P79" s="138"/>
    </row>
    <row r="80" spans="1:16" s="11" customFormat="1" x14ac:dyDescent="0.35">
      <c r="A80" s="7">
        <v>72</v>
      </c>
      <c r="B80" s="7" t="inlineStr">
        <is>
          <t>4"-A3B-HF-5001A</t>
        </is>
      </c>
      <c r="C80" s="13" t="s">
        <v>72</v>
      </c>
      <c r="D80" s="8" t="s">
        <v>188</v>
      </c>
      <c r="E80" s="9" t="s">
        <v>183</v>
      </c>
      <c r="F80" s="20">
        <v>37.658000000000001</v>
      </c>
      <c r="G80" s="23">
        <v>15</v>
      </c>
      <c r="H80" s="10">
        <f t="shared" si="7"/>
        <v>46251.75</v>
      </c>
      <c r="I80" s="93" t="str">
        <f t="shared" si="8"/>
        <v>1º</v>
      </c>
      <c r="J80" s="141">
        <v>46262</v>
      </c>
      <c r="K80" s="94" t="str">
        <f>IF(VLOOKUP(C80,'Crono Furui'!$C$2:$C$189,1,FALSE)="","VERIFICAR","OK")</f>
        <v>OK</v>
      </c>
      <c r="L80" s="91">
        <f>VLOOKUP(C80,'Crono Furui'!$C:$G,2,FALSE)</f>
        <v>0.4</v>
      </c>
      <c r="M80" s="90">
        <f>VLOOKUP(C80,'Crono Furui'!$C:$G,5,FALSE)</f>
        <v>46253.416666666664</v>
      </c>
      <c r="N80" s="112">
        <f t="shared" si="10"/>
        <v>2</v>
      </c>
      <c r="O80" s="134">
        <f t="shared" si="9"/>
        <v>15.063200000000002</v>
      </c>
      <c r="P80" s="138"/>
    </row>
    <row r="81" spans="1:16" s="11" customFormat="1" x14ac:dyDescent="0.35">
      <c r="A81" s="7">
        <v>73</v>
      </c>
      <c r="B81" s="7" t="inlineStr">
        <is>
          <t>4"-A3B-HF-5007A</t>
        </is>
      </c>
      <c r="C81" s="13" t="s">
        <v>73</v>
      </c>
      <c r="D81" s="8" t="s">
        <v>188</v>
      </c>
      <c r="E81" s="9" t="s">
        <v>183</v>
      </c>
      <c r="F81" s="20">
        <v>43.927250000000001</v>
      </c>
      <c r="G81" s="23">
        <v>19</v>
      </c>
      <c r="H81" s="10">
        <f t="shared" si="7"/>
        <v>46251.75</v>
      </c>
      <c r="I81" s="93" t="str">
        <f t="shared" si="8"/>
        <v>1º</v>
      </c>
      <c r="J81" s="141">
        <v>46262</v>
      </c>
      <c r="K81" s="94" t="str">
        <f>IF(VLOOKUP(C81,'Crono Furui'!$C$2:$C$189,1,FALSE)="","VERIFICAR","OK")</f>
        <v>OK</v>
      </c>
      <c r="L81" s="91">
        <f>VLOOKUP(C81,'Crono Furui'!$C:$G,2,FALSE)</f>
        <v>0.4</v>
      </c>
      <c r="M81" s="90">
        <f>VLOOKUP(C81,'Crono Furui'!$C:$G,5,FALSE)</f>
        <v>46253.416666666664</v>
      </c>
      <c r="N81" s="112">
        <f t="shared" si="10"/>
        <v>2</v>
      </c>
      <c r="O81" s="134">
        <f t="shared" si="9"/>
        <v>17.570900000000002</v>
      </c>
      <c r="P81" s="138"/>
    </row>
    <row r="82" spans="1:16" s="11" customFormat="1" x14ac:dyDescent="0.35">
      <c r="A82" s="7">
        <v>74</v>
      </c>
      <c r="B82" s="7" t="inlineStr">
        <is>
          <t>4"-A3B-HF-7401</t>
        </is>
      </c>
      <c r="C82" s="13" t="s">
        <v>74</v>
      </c>
      <c r="D82" s="8" t="s">
        <v>207</v>
      </c>
      <c r="E82" s="9" t="s">
        <v>190</v>
      </c>
      <c r="F82" s="20">
        <v>49.398749999999993</v>
      </c>
      <c r="G82" s="23">
        <v>4</v>
      </c>
      <c r="H82" s="10">
        <f t="shared" si="7"/>
        <v>46280.75</v>
      </c>
      <c r="I82" s="93" t="str">
        <f t="shared" si="8"/>
        <v>3º</v>
      </c>
      <c r="J82" s="141"/>
      <c r="K82" s="94" t="str">
        <f>IF(VLOOKUP(C82,'Crono Furui'!$C$2:$C$189,1,FALSE)="","VERIFICAR","OK")</f>
        <v>OK</v>
      </c>
      <c r="L82" s="91">
        <f>VLOOKUP(C82,'Crono Furui'!$C:$G,2,FALSE)</f>
        <v>0</v>
      </c>
      <c r="M82" s="90">
        <f>VLOOKUP(C82,'Crono Furui'!$C:$G,5,FALSE)</f>
        <v>46274.375</v>
      </c>
      <c r="N82" s="111" t="str">
        <f t="shared" si="10"/>
        <v>ATENDE</v>
      </c>
      <c r="O82" s="134">
        <f t="shared" si="9"/>
        <v>0</v>
      </c>
      <c r="P82" s="138"/>
    </row>
    <row r="83" spans="1:16" s="11" customFormat="1" x14ac:dyDescent="0.35">
      <c r="A83" s="7">
        <v>75</v>
      </c>
      <c r="B83" s="7" t="inlineStr">
        <is>
          <t>4"-B3B-MR-5511A</t>
        </is>
      </c>
      <c r="C83" s="13" t="s">
        <v>75</v>
      </c>
      <c r="D83" s="8" t="s">
        <v>193</v>
      </c>
      <c r="E83" s="9" t="s">
        <v>183</v>
      </c>
      <c r="F83" s="20">
        <v>55.228249999999996</v>
      </c>
      <c r="G83" s="23">
        <v>7</v>
      </c>
      <c r="H83" s="10">
        <f t="shared" si="7"/>
        <v>46265.75</v>
      </c>
      <c r="I83" s="93" t="str">
        <f t="shared" si="8"/>
        <v>2º</v>
      </c>
      <c r="J83" s="141">
        <v>46267</v>
      </c>
      <c r="K83" s="94" t="str">
        <f>IF(VLOOKUP(C83,'Crono Furui'!$C$2:$C$189,1,FALSE)="","VERIFICAR","OK")</f>
        <v>OK</v>
      </c>
      <c r="L83" s="91">
        <f>VLOOKUP(C83,'Crono Furui'!$C:$G,2,FALSE)</f>
        <v>0</v>
      </c>
      <c r="M83" s="90">
        <f>VLOOKUP(C83,'Crono Furui'!$C:$G,5,FALSE)</f>
        <v>46261.583333333336</v>
      </c>
      <c r="N83" s="111" t="str">
        <f t="shared" si="10"/>
        <v>ATENDE</v>
      </c>
      <c r="O83" s="134">
        <f t="shared" si="9"/>
        <v>0</v>
      </c>
      <c r="P83" s="138"/>
    </row>
    <row r="84" spans="1:16" s="11" customFormat="1" x14ac:dyDescent="0.35">
      <c r="A84" s="7">
        <v>76</v>
      </c>
      <c r="B84" s="7" t="inlineStr">
        <is>
          <t>4"-B3B-MR-5511B</t>
        </is>
      </c>
      <c r="C84" s="13" t="s">
        <v>76</v>
      </c>
      <c r="D84" s="8" t="s">
        <v>208</v>
      </c>
      <c r="E84" s="9" t="s">
        <v>183</v>
      </c>
      <c r="F84" s="20">
        <v>54.102999999999987</v>
      </c>
      <c r="G84" s="23">
        <v>10</v>
      </c>
      <c r="H84" s="10">
        <f t="shared" si="7"/>
        <v>46265.75</v>
      </c>
      <c r="I84" s="93" t="str">
        <f t="shared" si="8"/>
        <v>2º</v>
      </c>
      <c r="J84" s="141">
        <v>46267</v>
      </c>
      <c r="K84" s="94" t="str">
        <f>IF(VLOOKUP(C84,'Crono Furui'!$C$2:$C$189,1,FALSE)="","VERIFICAR","OK")</f>
        <v>OK</v>
      </c>
      <c r="L84" s="91">
        <f>VLOOKUP(C84,'Crono Furui'!$C:$G,2,FALSE)</f>
        <v>0</v>
      </c>
      <c r="M84" s="90">
        <f>VLOOKUP(C84,'Crono Furui'!$C:$G,5,FALSE)</f>
        <v>46261.583333333336</v>
      </c>
      <c r="N84" s="111" t="str">
        <f t="shared" si="10"/>
        <v>ATENDE</v>
      </c>
      <c r="O84" s="134">
        <f t="shared" si="9"/>
        <v>0</v>
      </c>
      <c r="P84" s="138"/>
    </row>
    <row r="85" spans="1:16" s="11" customFormat="1" x14ac:dyDescent="0.35">
      <c r="A85" s="7">
        <v>77</v>
      </c>
      <c r="B85" s="7" t="inlineStr">
        <is>
          <t>6"-A1E-CF-4004A</t>
        </is>
      </c>
      <c r="C85" s="13" t="s">
        <v>77</v>
      </c>
      <c r="D85" s="8" t="s">
        <v>182</v>
      </c>
      <c r="E85" s="9" t="s">
        <v>183</v>
      </c>
      <c r="F85" s="20">
        <v>102.95600000000002</v>
      </c>
      <c r="G85" s="23">
        <v>12</v>
      </c>
      <c r="H85" s="10">
        <f t="shared" si="7"/>
        <v>46251.75</v>
      </c>
      <c r="I85" s="93" t="str">
        <f t="shared" si="8"/>
        <v>1º</v>
      </c>
      <c r="J85" s="141">
        <v>46262</v>
      </c>
      <c r="K85" s="94" t="str">
        <f>IF(VLOOKUP(C85,'Crono Furui'!$C$2:$C$189,1,FALSE)="","VERIFICAR","OK")</f>
        <v>OK</v>
      </c>
      <c r="L85" s="91">
        <f>VLOOKUP(C85,'Crono Furui'!$C:$G,2,FALSE)</f>
        <v>0.4</v>
      </c>
      <c r="M85" s="90">
        <f>VLOOKUP(C85,'Crono Furui'!$C:$G,5,FALSE)</f>
        <v>46255.333333333336</v>
      </c>
      <c r="N85" s="112">
        <f t="shared" si="10"/>
        <v>4</v>
      </c>
      <c r="O85" s="134">
        <f t="shared" si="9"/>
        <v>41.182400000000008</v>
      </c>
      <c r="P85" s="138"/>
    </row>
    <row r="86" spans="1:16" s="11" customFormat="1" x14ac:dyDescent="0.35">
      <c r="A86" s="7">
        <v>78</v>
      </c>
      <c r="B86" s="7" t="inlineStr">
        <is>
          <t>6"-A3B-HF-0404A</t>
        </is>
      </c>
      <c r="C86" s="13" t="s">
        <v>78</v>
      </c>
      <c r="D86" s="8" t="s">
        <v>184</v>
      </c>
      <c r="E86" s="9" t="s">
        <v>185</v>
      </c>
      <c r="F86" s="20">
        <v>147.85348999999999</v>
      </c>
      <c r="G86" s="23">
        <v>10</v>
      </c>
      <c r="H86" s="10">
        <f t="shared" si="7"/>
        <v>46280.75</v>
      </c>
      <c r="I86" s="93" t="str">
        <f t="shared" si="8"/>
        <v>3º</v>
      </c>
      <c r="J86" s="141"/>
      <c r="K86" s="94" t="str">
        <f>IF(VLOOKUP(C86,'Crono Furui'!$C$2:$C$189,1,FALSE)="","VERIFICAR","OK")</f>
        <v>OK</v>
      </c>
      <c r="L86" s="91">
        <f>VLOOKUP(C86,'Crono Furui'!$C:$G,2,FALSE)</f>
        <v>0</v>
      </c>
      <c r="M86" s="90">
        <f>VLOOKUP(C86,'Crono Furui'!$C:$G,5,FALSE)</f>
        <v>46274.375</v>
      </c>
      <c r="N86" s="111" t="str">
        <f t="shared" si="10"/>
        <v>ATENDE</v>
      </c>
      <c r="O86" s="134">
        <f t="shared" si="9"/>
        <v>0</v>
      </c>
      <c r="P86" s="138"/>
    </row>
    <row r="87" spans="1:16" s="11" customFormat="1" x14ac:dyDescent="0.35">
      <c r="A87" s="7">
        <v>79</v>
      </c>
      <c r="B87" s="7" t="inlineStr">
        <is>
          <t>6"-A3B-HF-0404B</t>
        </is>
      </c>
      <c r="C87" s="13" t="s">
        <v>79</v>
      </c>
      <c r="D87" s="8" t="s">
        <v>184</v>
      </c>
      <c r="E87" s="9" t="s">
        <v>185</v>
      </c>
      <c r="F87" s="20">
        <v>152.19353999999998</v>
      </c>
      <c r="G87" s="23">
        <v>6</v>
      </c>
      <c r="H87" s="10">
        <f t="shared" si="7"/>
        <v>46280.75</v>
      </c>
      <c r="I87" s="93" t="str">
        <f t="shared" si="8"/>
        <v>3º</v>
      </c>
      <c r="J87" s="141"/>
      <c r="K87" s="94" t="str">
        <f>IF(VLOOKUP(C87,'Crono Furui'!$C$2:$C$189,1,FALSE)="","VERIFICAR","OK")</f>
        <v>OK</v>
      </c>
      <c r="L87" s="91">
        <f>VLOOKUP(C87,'Crono Furui'!$C:$G,2,FALSE)</f>
        <v>0</v>
      </c>
      <c r="M87" s="90">
        <f>VLOOKUP(C87,'Crono Furui'!$C:$G,5,FALSE)</f>
        <v>46274.375</v>
      </c>
      <c r="N87" s="111" t="str">
        <f t="shared" si="10"/>
        <v>ATENDE</v>
      </c>
      <c r="O87" s="134">
        <f t="shared" si="9"/>
        <v>0</v>
      </c>
      <c r="P87" s="138"/>
    </row>
    <row r="88" spans="1:16" s="11" customFormat="1" x14ac:dyDescent="0.35">
      <c r="A88" s="7">
        <v>80</v>
      </c>
      <c r="B88" s="7" t="inlineStr">
        <is>
          <t>6"-A3B-HF-4002A</t>
        </is>
      </c>
      <c r="C88" s="13" t="s">
        <v>80</v>
      </c>
      <c r="D88" s="8" t="s">
        <v>188</v>
      </c>
      <c r="E88" s="9" t="s">
        <v>183</v>
      </c>
      <c r="F88" s="20">
        <v>107.57289</v>
      </c>
      <c r="G88" s="23">
        <v>13</v>
      </c>
      <c r="H88" s="10">
        <f t="shared" si="7"/>
        <v>46251.75</v>
      </c>
      <c r="I88" s="93" t="str">
        <f t="shared" si="8"/>
        <v>1º</v>
      </c>
      <c r="J88" s="141">
        <v>46262</v>
      </c>
      <c r="K88" s="94" t="str">
        <f>IF(VLOOKUP(C88,'Crono Furui'!$C$2:$C$189,1,FALSE)="","VERIFICAR","OK")</f>
        <v>OK</v>
      </c>
      <c r="L88" s="91">
        <f>VLOOKUP(C88,'Crono Furui'!$C:$G,2,FALSE)</f>
        <v>0.4</v>
      </c>
      <c r="M88" s="90">
        <f>VLOOKUP(C88,'Crono Furui'!$C:$G,5,FALSE)</f>
        <v>46255.333333333336</v>
      </c>
      <c r="N88" s="112">
        <f t="shared" si="10"/>
        <v>4</v>
      </c>
      <c r="O88" s="134">
        <f t="shared" si="9"/>
        <v>43.029156</v>
      </c>
      <c r="P88" s="138"/>
    </row>
    <row r="89" spans="1:16" s="11" customFormat="1" x14ac:dyDescent="0.35">
      <c r="A89" s="7">
        <v>81</v>
      </c>
      <c r="B89" s="7" t="inlineStr">
        <is>
          <t>6"-A3B-HF-5503A</t>
        </is>
      </c>
      <c r="C89" s="13" t="s">
        <v>81</v>
      </c>
      <c r="D89" s="8" t="s">
        <v>193</v>
      </c>
      <c r="E89" s="9" t="s">
        <v>183</v>
      </c>
      <c r="F89" s="20">
        <v>74.783419999999992</v>
      </c>
      <c r="G89" s="23">
        <v>4</v>
      </c>
      <c r="H89" s="10">
        <f t="shared" si="7"/>
        <v>46265.75</v>
      </c>
      <c r="I89" s="93" t="str">
        <f t="shared" si="8"/>
        <v>2º</v>
      </c>
      <c r="J89" s="141"/>
      <c r="K89" s="94" t="str">
        <f>IF(VLOOKUP(C89,'Crono Furui'!$C$2:$C$189,1,FALSE)="","VERIFICAR","OK")</f>
        <v>OK</v>
      </c>
      <c r="L89" s="91">
        <f>VLOOKUP(C89,'Crono Furui'!$C:$G,2,FALSE)</f>
        <v>0</v>
      </c>
      <c r="M89" s="90">
        <f>VLOOKUP(C89,'Crono Furui'!$C:$G,5,FALSE)</f>
        <v>46261.583333333336</v>
      </c>
      <c r="N89" s="111" t="str">
        <f t="shared" si="10"/>
        <v>ATENDE</v>
      </c>
      <c r="O89" s="134">
        <f t="shared" si="9"/>
        <v>0</v>
      </c>
      <c r="P89" s="138"/>
    </row>
    <row r="90" spans="1:16" s="11" customFormat="1" x14ac:dyDescent="0.35">
      <c r="A90" s="7">
        <v>82</v>
      </c>
      <c r="B90" s="7" t="inlineStr">
        <is>
          <t>6"-A3B-HF-5503B</t>
        </is>
      </c>
      <c r="C90" s="13" t="s">
        <v>82</v>
      </c>
      <c r="D90" s="8" t="s">
        <v>208</v>
      </c>
      <c r="E90" s="9" t="s">
        <v>183</v>
      </c>
      <c r="F90" s="20">
        <v>77.044780000000003</v>
      </c>
      <c r="G90" s="23">
        <v>4</v>
      </c>
      <c r="H90" s="10">
        <f t="shared" si="7"/>
        <v>46265.75</v>
      </c>
      <c r="I90" s="93" t="str">
        <f t="shared" si="8"/>
        <v>2º</v>
      </c>
      <c r="J90" s="141"/>
      <c r="K90" s="94" t="str">
        <f>IF(VLOOKUP(C90,'Crono Furui'!$C$2:$C$189,1,FALSE)="","VERIFICAR","OK")</f>
        <v>OK</v>
      </c>
      <c r="L90" s="91">
        <f>VLOOKUP(C90,'Crono Furui'!$C:$G,2,FALSE)</f>
        <v>0</v>
      </c>
      <c r="M90" s="90">
        <f>VLOOKUP(C90,'Crono Furui'!$C:$G,5,FALSE)</f>
        <v>46261.583333333336</v>
      </c>
      <c r="N90" s="111" t="str">
        <f t="shared" si="10"/>
        <v>ATENDE</v>
      </c>
      <c r="O90" s="134">
        <f t="shared" si="9"/>
        <v>0</v>
      </c>
      <c r="P90" s="138"/>
    </row>
    <row r="91" spans="1:16" s="11" customFormat="1" x14ac:dyDescent="0.35">
      <c r="A91" s="7">
        <v>83</v>
      </c>
      <c r="B91" s="7" t="inlineStr">
        <is>
          <t>6"-B1E-MR-4001A</t>
        </is>
      </c>
      <c r="C91" s="13" t="s">
        <v>83</v>
      </c>
      <c r="D91" s="8" t="s">
        <v>186</v>
      </c>
      <c r="E91" s="9" t="s">
        <v>183</v>
      </c>
      <c r="F91" s="20">
        <v>281.012</v>
      </c>
      <c r="G91" s="23">
        <v>25</v>
      </c>
      <c r="H91" s="10">
        <f t="shared" si="7"/>
        <v>46251.75</v>
      </c>
      <c r="I91" s="93" t="str">
        <f t="shared" si="8"/>
        <v>1º</v>
      </c>
      <c r="J91" s="141">
        <v>46262</v>
      </c>
      <c r="K91" s="94" t="str">
        <f>IF(VLOOKUP(C91,'Crono Furui'!$C$2:$C$189,1,FALSE)="","VERIFICAR","OK")</f>
        <v>OK</v>
      </c>
      <c r="L91" s="91">
        <f>VLOOKUP(C91,'Crono Furui'!$C:$G,2,FALSE)</f>
        <v>0.4</v>
      </c>
      <c r="M91" s="90">
        <f>VLOOKUP(C91,'Crono Furui'!$C:$G,5,FALSE)</f>
        <v>46255.708333333336</v>
      </c>
      <c r="N91" s="112">
        <f t="shared" si="10"/>
        <v>4</v>
      </c>
      <c r="O91" s="134">
        <f t="shared" si="9"/>
        <v>112.40480000000001</v>
      </c>
      <c r="P91" s="138"/>
    </row>
    <row r="92" spans="1:16" s="11" customFormat="1" x14ac:dyDescent="0.35">
      <c r="A92" s="7">
        <v>84</v>
      </c>
      <c r="B92" s="7" t="inlineStr">
        <is>
          <t>6"-B1E-MR-4003A</t>
        </is>
      </c>
      <c r="C92" s="13" t="s">
        <v>84</v>
      </c>
      <c r="D92" s="8" t="s">
        <v>186</v>
      </c>
      <c r="E92" s="9" t="s">
        <v>183</v>
      </c>
      <c r="F92" s="20">
        <v>284.38999999999993</v>
      </c>
      <c r="G92" s="23">
        <v>20</v>
      </c>
      <c r="H92" s="10">
        <f t="shared" si="7"/>
        <v>46251.75</v>
      </c>
      <c r="I92" s="93" t="str">
        <f t="shared" si="8"/>
        <v>1º</v>
      </c>
      <c r="J92" s="141">
        <v>46262</v>
      </c>
      <c r="K92" s="94" t="str">
        <f>IF(VLOOKUP(C92,'Crono Furui'!$C$2:$C$189,1,FALSE)="","VERIFICAR","OK")</f>
        <v>OK</v>
      </c>
      <c r="L92" s="91">
        <f>VLOOKUP(C92,'Crono Furui'!$C:$G,2,FALSE)</f>
        <v>0.4</v>
      </c>
      <c r="M92" s="90">
        <f>VLOOKUP(C92,'Crono Furui'!$C:$G,5,FALSE)</f>
        <v>46255.708333333336</v>
      </c>
      <c r="N92" s="112">
        <f t="shared" si="10"/>
        <v>4</v>
      </c>
      <c r="O92" s="134">
        <f t="shared" si="9"/>
        <v>113.75599999999997</v>
      </c>
      <c r="P92" s="138"/>
    </row>
    <row r="93" spans="1:16" s="11" customFormat="1" x14ac:dyDescent="0.35">
      <c r="A93" s="7">
        <v>85</v>
      </c>
      <c r="B93" s="7" t="inlineStr">
        <is>
          <t>6"-B3B-MR-4018A</t>
        </is>
      </c>
      <c r="C93" s="13" t="s">
        <v>85</v>
      </c>
      <c r="D93" s="8" t="s">
        <v>186</v>
      </c>
      <c r="E93" s="9" t="s">
        <v>183</v>
      </c>
      <c r="F93" s="20">
        <v>395.37724999999995</v>
      </c>
      <c r="G93" s="23">
        <v>76</v>
      </c>
      <c r="H93" s="10">
        <f t="shared" si="7"/>
        <v>46251.75</v>
      </c>
      <c r="I93" s="93" t="str">
        <f t="shared" si="8"/>
        <v>1º</v>
      </c>
      <c r="J93" s="141">
        <v>46262</v>
      </c>
      <c r="K93" s="94" t="str">
        <f>IF(VLOOKUP(C93,'Crono Furui'!$C$2:$C$189,1,FALSE)="","VERIFICAR","OK")</f>
        <v>OK</v>
      </c>
      <c r="L93" s="91">
        <f>VLOOKUP(C93,'Crono Furui'!$C:$G,2,FALSE)</f>
        <v>0.28999999999999998</v>
      </c>
      <c r="M93" s="90">
        <f>VLOOKUP(C93,'Crono Furui'!$C:$G,5,FALSE)</f>
        <v>46255.708333333336</v>
      </c>
      <c r="N93" s="112">
        <f t="shared" si="10"/>
        <v>4</v>
      </c>
      <c r="O93" s="134">
        <f t="shared" si="9"/>
        <v>114.65940249999997</v>
      </c>
      <c r="P93" s="138"/>
    </row>
    <row r="94" spans="1:16" s="11" customFormat="1" x14ac:dyDescent="0.35">
      <c r="A94" s="7">
        <v>86</v>
      </c>
      <c r="B94" s="7" t="inlineStr">
        <is>
          <t>6"-B3B-MR-5503A</t>
        </is>
      </c>
      <c r="C94" s="13" t="s">
        <v>86</v>
      </c>
      <c r="D94" s="8" t="s">
        <v>193</v>
      </c>
      <c r="E94" s="9" t="s">
        <v>183</v>
      </c>
      <c r="F94" s="20">
        <v>145.83591000000001</v>
      </c>
      <c r="G94" s="23">
        <v>7</v>
      </c>
      <c r="H94" s="10">
        <f t="shared" si="7"/>
        <v>46265.75</v>
      </c>
      <c r="I94" s="93" t="str">
        <f t="shared" si="8"/>
        <v>2º</v>
      </c>
      <c r="J94" s="141">
        <v>46267</v>
      </c>
      <c r="K94" s="94" t="str">
        <f>IF(VLOOKUP(C94,'Crono Furui'!$C$2:$C$189,1,FALSE)="","VERIFICAR","OK")</f>
        <v>OK</v>
      </c>
      <c r="L94" s="91">
        <f>VLOOKUP(C94,'Crono Furui'!$C:$G,2,FALSE)</f>
        <v>0</v>
      </c>
      <c r="M94" s="90">
        <f>VLOOKUP(C94,'Crono Furui'!$C:$G,5,FALSE)</f>
        <v>46262.5</v>
      </c>
      <c r="N94" s="111" t="str">
        <f t="shared" si="10"/>
        <v>ATENDE</v>
      </c>
      <c r="O94" s="134">
        <f t="shared" si="9"/>
        <v>0</v>
      </c>
      <c r="P94" s="138"/>
    </row>
    <row r="95" spans="1:16" s="11" customFormat="1" x14ac:dyDescent="0.35">
      <c r="A95" s="7">
        <v>87</v>
      </c>
      <c r="B95" s="7" t="inlineStr">
        <is>
          <t>6"-B3B-MR-5503B</t>
        </is>
      </c>
      <c r="C95" s="13" t="s">
        <v>87</v>
      </c>
      <c r="D95" s="8" t="s">
        <v>208</v>
      </c>
      <c r="E95" s="9" t="s">
        <v>183</v>
      </c>
      <c r="F95" s="20">
        <v>146.68392</v>
      </c>
      <c r="G95" s="23">
        <v>10</v>
      </c>
      <c r="H95" s="10">
        <f t="shared" si="7"/>
        <v>46265.75</v>
      </c>
      <c r="I95" s="93" t="str">
        <f t="shared" si="8"/>
        <v>2º</v>
      </c>
      <c r="J95" s="141">
        <v>46267</v>
      </c>
      <c r="K95" s="94" t="str">
        <f>IF(VLOOKUP(C95,'Crono Furui'!$C$2:$C$189,1,FALSE)="","VERIFICAR","OK")</f>
        <v>OK</v>
      </c>
      <c r="L95" s="91">
        <f>VLOOKUP(C95,'Crono Furui'!$C:$G,2,FALSE)</f>
        <v>0</v>
      </c>
      <c r="M95" s="90">
        <f>VLOOKUP(C95,'Crono Furui'!$C:$G,5,FALSE)</f>
        <v>46262.5</v>
      </c>
      <c r="N95" s="111" t="str">
        <f t="shared" si="10"/>
        <v>ATENDE</v>
      </c>
      <c r="O95" s="134">
        <f t="shared" si="9"/>
        <v>0</v>
      </c>
      <c r="P95" s="138"/>
    </row>
    <row r="96" spans="1:16" s="11" customFormat="1" x14ac:dyDescent="0.35">
      <c r="A96" s="7">
        <v>88</v>
      </c>
      <c r="B96" s="7" t="inlineStr">
        <is>
          <t>6"-D1E-NG-4301A</t>
        </is>
      </c>
      <c r="C96" s="13" t="s">
        <v>88</v>
      </c>
      <c r="D96" s="8" t="s">
        <v>182</v>
      </c>
      <c r="E96" s="9" t="s">
        <v>183</v>
      </c>
      <c r="F96" s="20">
        <v>229.83519999999999</v>
      </c>
      <c r="G96" s="23">
        <v>10</v>
      </c>
      <c r="H96" s="10">
        <f t="shared" si="7"/>
        <v>46251.75</v>
      </c>
      <c r="I96" s="93" t="str">
        <f t="shared" si="8"/>
        <v>1º</v>
      </c>
      <c r="J96" s="141">
        <v>46262</v>
      </c>
      <c r="K96" s="94" t="str">
        <f>IF(VLOOKUP(C96,'Crono Furui'!$C$2:$C$189,1,FALSE)="","VERIFICAR","OK")</f>
        <v>OK</v>
      </c>
      <c r="L96" s="91">
        <f>VLOOKUP(C96,'Crono Furui'!$C:$G,2,FALSE)</f>
        <v>0</v>
      </c>
      <c r="M96" s="90">
        <f>VLOOKUP(C96,'Crono Furui'!$C:$G,5,FALSE)</f>
        <v>46255.333333333336</v>
      </c>
      <c r="N96" s="112">
        <f t="shared" si="10"/>
        <v>4</v>
      </c>
      <c r="O96" s="134">
        <f t="shared" si="9"/>
        <v>0</v>
      </c>
      <c r="P96" s="138"/>
    </row>
    <row r="97" spans="1:16" s="11" customFormat="1" x14ac:dyDescent="0.35">
      <c r="A97" s="7">
        <v>89</v>
      </c>
      <c r="B97" s="7" t="inlineStr">
        <is>
          <t>6"-D3B-NG-0407A</t>
        </is>
      </c>
      <c r="C97" s="13" t="s">
        <v>89</v>
      </c>
      <c r="D97" s="8" t="s">
        <v>184</v>
      </c>
      <c r="E97" s="9" t="s">
        <v>185</v>
      </c>
      <c r="F97" s="20">
        <v>106.92400000000001</v>
      </c>
      <c r="G97" s="23">
        <v>7</v>
      </c>
      <c r="H97" s="10">
        <f t="shared" si="7"/>
        <v>46280.75</v>
      </c>
      <c r="I97" s="93" t="str">
        <f t="shared" si="8"/>
        <v>3º</v>
      </c>
      <c r="J97" s="141"/>
      <c r="K97" s="94" t="str">
        <f>IF(VLOOKUP(C97,'Crono Furui'!$C$2:$C$189,1,FALSE)="","VERIFICAR","OK")</f>
        <v>OK</v>
      </c>
      <c r="L97" s="91">
        <f>VLOOKUP(C97,'Crono Furui'!$C:$G,2,FALSE)</f>
        <v>0</v>
      </c>
      <c r="M97" s="90">
        <f>VLOOKUP(C97,'Crono Furui'!$C:$G,5,FALSE)</f>
        <v>46274.375</v>
      </c>
      <c r="N97" s="111" t="str">
        <f t="shared" si="10"/>
        <v>ATENDE</v>
      </c>
      <c r="O97" s="134">
        <f t="shared" si="9"/>
        <v>0</v>
      </c>
      <c r="P97" s="138"/>
    </row>
    <row r="98" spans="1:16" s="11" customFormat="1" x14ac:dyDescent="0.35">
      <c r="A98" s="7">
        <v>90</v>
      </c>
      <c r="B98" s="7" t="inlineStr">
        <is>
          <t>6"-D3B-NG-0407B</t>
        </is>
      </c>
      <c r="C98" s="13" t="s">
        <v>90</v>
      </c>
      <c r="D98" s="8" t="s">
        <v>184</v>
      </c>
      <c r="E98" s="9" t="s">
        <v>185</v>
      </c>
      <c r="F98" s="20">
        <v>63.938400000000001</v>
      </c>
      <c r="G98" s="23">
        <v>5</v>
      </c>
      <c r="H98" s="10">
        <f t="shared" si="7"/>
        <v>46280.75</v>
      </c>
      <c r="I98" s="93" t="str">
        <f t="shared" si="8"/>
        <v>3º</v>
      </c>
      <c r="J98" s="141"/>
      <c r="K98" s="94" t="str">
        <f>IF(VLOOKUP(C98,'Crono Furui'!$C$2:$C$189,1,FALSE)="","VERIFICAR","OK")</f>
        <v>OK</v>
      </c>
      <c r="L98" s="91">
        <f>VLOOKUP(C98,'Crono Furui'!$C:$G,2,FALSE)</f>
        <v>0</v>
      </c>
      <c r="M98" s="90">
        <f>VLOOKUP(C98,'Crono Furui'!$C:$G,5,FALSE)</f>
        <v>46274.375</v>
      </c>
      <c r="N98" s="111" t="str">
        <f t="shared" si="10"/>
        <v>ATENDE</v>
      </c>
      <c r="O98" s="134">
        <f t="shared" si="9"/>
        <v>0</v>
      </c>
      <c r="P98" s="138"/>
    </row>
    <row r="99" spans="1:16" s="11" customFormat="1" x14ac:dyDescent="0.35">
      <c r="A99" s="7">
        <v>91</v>
      </c>
      <c r="B99" s="7" t="inlineStr">
        <is>
          <t>8"-A1E-CF-9201</t>
        </is>
      </c>
      <c r="C99" s="13" t="s">
        <v>91</v>
      </c>
      <c r="D99" s="8" t="s">
        <v>180</v>
      </c>
      <c r="E99" s="9" t="s">
        <v>202</v>
      </c>
      <c r="F99" s="20">
        <v>624.96249999999986</v>
      </c>
      <c r="G99" s="23">
        <v>55</v>
      </c>
      <c r="H99" s="10">
        <f t="shared" si="7"/>
        <v>46287.75</v>
      </c>
      <c r="I99" s="93" t="str">
        <f t="shared" si="8"/>
        <v>4º</v>
      </c>
      <c r="J99" s="141"/>
      <c r="K99" s="94" t="str">
        <f>IF(VLOOKUP(C99,'Crono Furui'!$C$2:$C$189,1,FALSE)="","VERIFICAR","OK")</f>
        <v>OK</v>
      </c>
      <c r="L99" s="91">
        <f>VLOOKUP(C99,'Crono Furui'!$C:$G,2,FALSE)</f>
        <v>0</v>
      </c>
      <c r="M99" s="90">
        <f>VLOOKUP(C99,'Crono Furui'!$C:$G,5,FALSE)</f>
        <v>46286.375</v>
      </c>
      <c r="N99" s="111" t="str">
        <f t="shared" si="10"/>
        <v>ATENDE</v>
      </c>
      <c r="O99" s="134">
        <f t="shared" si="9"/>
        <v>0</v>
      </c>
      <c r="P99" s="138"/>
    </row>
    <row r="100" spans="1:16" s="11" customFormat="1" x14ac:dyDescent="0.35">
      <c r="A100" s="7">
        <v>92</v>
      </c>
      <c r="B100" s="7" t="inlineStr">
        <is>
          <t>8"-A3B-CF-9202</t>
        </is>
      </c>
      <c r="C100" s="13" t="s">
        <v>92</v>
      </c>
      <c r="D100" s="8" t="s">
        <v>209</v>
      </c>
      <c r="E100" s="9" t="s">
        <v>185</v>
      </c>
      <c r="F100" s="20">
        <v>228.32509999999999</v>
      </c>
      <c r="G100" s="23">
        <v>15</v>
      </c>
      <c r="H100" s="10">
        <f t="shared" si="7"/>
        <v>46280.75</v>
      </c>
      <c r="I100" s="93" t="str">
        <f t="shared" si="8"/>
        <v>3º</v>
      </c>
      <c r="J100" s="141"/>
      <c r="K100" s="94" t="str">
        <f>IF(VLOOKUP(C100,'Crono Furui'!$C$2:$C$189,1,FALSE)="","VERIFICAR","OK")</f>
        <v>OK</v>
      </c>
      <c r="L100" s="91">
        <f>VLOOKUP(C100,'Crono Furui'!$C:$G,2,FALSE)</f>
        <v>0</v>
      </c>
      <c r="M100" s="90">
        <f>VLOOKUP(C100,'Crono Furui'!$C:$G,5,FALSE)</f>
        <v>46275.333333333336</v>
      </c>
      <c r="N100" s="111" t="str">
        <f t="shared" si="10"/>
        <v>ATENDE</v>
      </c>
      <c r="O100" s="134">
        <f t="shared" si="9"/>
        <v>0</v>
      </c>
      <c r="P100" s="138"/>
    </row>
    <row r="101" spans="1:16" s="11" customFormat="1" x14ac:dyDescent="0.35">
      <c r="A101" s="7">
        <v>93</v>
      </c>
      <c r="B101" s="7" t="inlineStr">
        <is>
          <t>8"-A3B-HF-5105A</t>
        </is>
      </c>
      <c r="C101" s="13" t="s">
        <v>93</v>
      </c>
      <c r="D101" s="8" t="s">
        <v>187</v>
      </c>
      <c r="E101" s="9" t="s">
        <v>183</v>
      </c>
      <c r="F101" s="20">
        <v>114.68663999999998</v>
      </c>
      <c r="G101" s="23">
        <v>4</v>
      </c>
      <c r="H101" s="10">
        <f t="shared" si="7"/>
        <v>46265.75</v>
      </c>
      <c r="I101" s="93" t="str">
        <f t="shared" si="8"/>
        <v>2º</v>
      </c>
      <c r="J101" s="141">
        <v>46267</v>
      </c>
      <c r="K101" s="94" t="str">
        <f>IF(VLOOKUP(C101,'Crono Furui'!$C$2:$C$189,1,FALSE)="","VERIFICAR","OK")</f>
        <v>OK</v>
      </c>
      <c r="L101" s="91">
        <f>VLOOKUP(C101,'Crono Furui'!$C:$G,2,FALSE)</f>
        <v>0</v>
      </c>
      <c r="M101" s="90">
        <f>VLOOKUP(C101,'Crono Furui'!$C:$G,5,FALSE)</f>
        <v>46262.5</v>
      </c>
      <c r="N101" s="111" t="str">
        <f t="shared" si="10"/>
        <v>ATENDE</v>
      </c>
      <c r="O101" s="134">
        <f t="shared" si="9"/>
        <v>0</v>
      </c>
      <c r="P101" s="138"/>
    </row>
    <row r="102" spans="1:16" s="11" customFormat="1" x14ac:dyDescent="0.35">
      <c r="A102" s="7">
        <v>94</v>
      </c>
      <c r="B102" s="7" t="inlineStr">
        <is>
          <t>8"-A3B-HF-5105B</t>
        </is>
      </c>
      <c r="C102" s="13" t="s">
        <v>94</v>
      </c>
      <c r="D102" s="8" t="s">
        <v>192</v>
      </c>
      <c r="E102" s="9" t="s">
        <v>183</v>
      </c>
      <c r="F102" s="20">
        <v>114.26125999999999</v>
      </c>
      <c r="G102" s="23">
        <v>4</v>
      </c>
      <c r="H102" s="10">
        <f t="shared" si="7"/>
        <v>46265.75</v>
      </c>
      <c r="I102" s="93" t="str">
        <f t="shared" si="8"/>
        <v>2º</v>
      </c>
      <c r="J102" s="141">
        <v>46268</v>
      </c>
      <c r="K102" s="94" t="str">
        <f>IF(VLOOKUP(C102,'Crono Furui'!$C$2:$C$189,1,FALSE)="","VERIFICAR","OK")</f>
        <v>OK</v>
      </c>
      <c r="L102" s="91">
        <f>VLOOKUP(C102,'Crono Furui'!$C:$G,2,FALSE)</f>
        <v>0</v>
      </c>
      <c r="M102" s="90">
        <f>VLOOKUP(C102,'Crono Furui'!$C:$G,5,FALSE)</f>
        <v>46262.5</v>
      </c>
      <c r="N102" s="111" t="str">
        <f t="shared" si="10"/>
        <v>ATENDE</v>
      </c>
      <c r="O102" s="134">
        <f t="shared" si="9"/>
        <v>0</v>
      </c>
      <c r="P102" s="138"/>
    </row>
    <row r="103" spans="1:16" s="11" customFormat="1" x14ac:dyDescent="0.35">
      <c r="A103" s="7">
        <v>95</v>
      </c>
      <c r="B103" s="7" t="inlineStr">
        <is>
          <t>8"-B3B-MR-4019A</t>
        </is>
      </c>
      <c r="C103" s="13" t="s">
        <v>95</v>
      </c>
      <c r="D103" s="8" t="s">
        <v>186</v>
      </c>
      <c r="E103" s="9" t="s">
        <v>183</v>
      </c>
      <c r="F103" s="20">
        <v>529.06935999999996</v>
      </c>
      <c r="G103" s="23">
        <v>74</v>
      </c>
      <c r="H103" s="10">
        <f t="shared" si="7"/>
        <v>46251.75</v>
      </c>
      <c r="I103" s="93" t="str">
        <f t="shared" si="8"/>
        <v>1º</v>
      </c>
      <c r="J103" s="141">
        <v>46262</v>
      </c>
      <c r="K103" s="94" t="str">
        <f>IF(VLOOKUP(C103,'Crono Furui'!$C$2:$C$189,1,FALSE)="","VERIFICAR","OK")</f>
        <v>OK</v>
      </c>
      <c r="L103" s="91">
        <f>VLOOKUP(C103,'Crono Furui'!$C:$G,2,FALSE)</f>
        <v>0</v>
      </c>
      <c r="M103" s="90">
        <f>VLOOKUP(C103,'Crono Furui'!$C:$G,5,FALSE)</f>
        <v>46255.708333333336</v>
      </c>
      <c r="N103" s="112">
        <f t="shared" si="10"/>
        <v>4</v>
      </c>
      <c r="O103" s="134">
        <f t="shared" si="9"/>
        <v>0</v>
      </c>
      <c r="P103" s="138"/>
    </row>
    <row r="104" spans="1:16" s="11" customFormat="1" x14ac:dyDescent="0.35">
      <c r="A104" s="7">
        <v>96</v>
      </c>
      <c r="B104" s="7" t="inlineStr">
        <is>
          <t>8"-B3B-NG-0301</t>
        </is>
      </c>
      <c r="C104" s="13" t="s">
        <v>96</v>
      </c>
      <c r="D104" s="8" t="s">
        <v>210</v>
      </c>
      <c r="E104" s="9" t="s">
        <v>190</v>
      </c>
      <c r="F104" s="20">
        <v>425.29091999999997</v>
      </c>
      <c r="G104" s="23">
        <v>13</v>
      </c>
      <c r="H104" s="10">
        <f t="shared" si="7"/>
        <v>46280.75</v>
      </c>
      <c r="I104" s="93" t="str">
        <f t="shared" si="8"/>
        <v>3º</v>
      </c>
      <c r="J104" s="141"/>
      <c r="K104" s="94" t="str">
        <f>IF(VLOOKUP(C104,'Crono Furui'!$C$2:$C$189,1,FALSE)="","VERIFICAR","OK")</f>
        <v>OK</v>
      </c>
      <c r="L104" s="91">
        <f>VLOOKUP(C104,'Crono Furui'!$C:$G,2,FALSE)</f>
        <v>0</v>
      </c>
      <c r="M104" s="90">
        <f>VLOOKUP(C104,'Crono Furui'!$C:$G,5,FALSE)</f>
        <v>46276.666666666664</v>
      </c>
      <c r="N104" s="111" t="str">
        <f t="shared" si="10"/>
        <v>ATENDE</v>
      </c>
      <c r="O104" s="134">
        <f t="shared" si="9"/>
        <v>0</v>
      </c>
      <c r="P104" s="138"/>
    </row>
    <row r="105" spans="1:16" s="11" customFormat="1" x14ac:dyDescent="0.35">
      <c r="A105" s="7">
        <v>97</v>
      </c>
      <c r="B105" s="7" t="inlineStr">
        <is>
          <t>V-941-TRIM-2</t>
        </is>
      </c>
      <c r="C105" s="13" t="s">
        <v>97</v>
      </c>
      <c r="D105" s="8" t="s">
        <v>191</v>
      </c>
      <c r="E105" s="9" t="s">
        <v>185</v>
      </c>
      <c r="F105" s="20">
        <v>2.2212000000000001</v>
      </c>
      <c r="G105" s="23">
        <v>2</v>
      </c>
      <c r="H105" s="10">
        <f t="shared" ref="H105:H136" si="11">VLOOKUP(D105,$D$195:$F$231,3,FALSE)</f>
        <v>46280.75</v>
      </c>
      <c r="I105" s="93" t="str">
        <f t="shared" ref="I105:I136" si="12">VLOOKUP(H105,$H$197:$I$200,2,FALSE)</f>
        <v>3º</v>
      </c>
      <c r="J105" s="141"/>
      <c r="K105" s="94" t="str">
        <f>IF(VLOOKUP(C105,'Crono Furui'!$C$2:$C$189,1,FALSE)="","VERIFICAR","OK")</f>
        <v>OK</v>
      </c>
      <c r="L105" s="91">
        <f>VLOOKUP(C105,'Crono Furui'!$C:$G,2,FALSE)</f>
        <v>0</v>
      </c>
      <c r="M105" s="90">
        <f>VLOOKUP(C105,'Crono Furui'!$C:$G,5,FALSE)</f>
        <v>46276.666666666664</v>
      </c>
      <c r="N105" s="111" t="str">
        <f t="shared" si="10"/>
        <v>ATENDE</v>
      </c>
      <c r="O105" s="134">
        <f t="shared" si="9"/>
        <v>0</v>
      </c>
      <c r="P105" s="138"/>
    </row>
    <row r="106" spans="1:16" s="11" customFormat="1" x14ac:dyDescent="0.35">
      <c r="A106" s="7">
        <v>98</v>
      </c>
      <c r="B106" s="7" t="inlineStr">
        <is>
          <t>V-941-TRIM-3</t>
        </is>
      </c>
      <c r="C106" s="13" t="s">
        <v>98</v>
      </c>
      <c r="D106" s="8" t="s">
        <v>191</v>
      </c>
      <c r="E106" s="9" t="s">
        <v>185</v>
      </c>
      <c r="F106" s="20">
        <v>2.2212000000000001</v>
      </c>
      <c r="G106" s="23">
        <v>2</v>
      </c>
      <c r="H106" s="10">
        <f t="shared" si="11"/>
        <v>46280.75</v>
      </c>
      <c r="I106" s="93" t="str">
        <f t="shared" si="12"/>
        <v>3º</v>
      </c>
      <c r="J106" s="141"/>
      <c r="K106" s="94" t="str">
        <f>IF(VLOOKUP(C106,'Crono Furui'!$C$2:$C$189,1,FALSE)="","VERIFICAR","OK")</f>
        <v>OK</v>
      </c>
      <c r="L106" s="91">
        <f>VLOOKUP(C106,'Crono Furui'!$C:$G,2,FALSE)</f>
        <v>0</v>
      </c>
      <c r="M106" s="90">
        <f>VLOOKUP(C106,'Crono Furui'!$C:$G,5,FALSE)</f>
        <v>46275.708333333336</v>
      </c>
      <c r="N106" s="111" t="str">
        <f t="shared" si="10"/>
        <v>ATENDE</v>
      </c>
      <c r="O106" s="134">
        <f t="shared" si="9"/>
        <v>0</v>
      </c>
      <c r="P106" s="138"/>
    </row>
    <row r="107" spans="1:16" s="11" customFormat="1" x14ac:dyDescent="0.35">
      <c r="A107" s="7">
        <v>99</v>
      </c>
      <c r="B107" s="7" t="inlineStr">
        <is>
          <t>1"-A1E-IA-9010A</t>
        </is>
      </c>
      <c r="C107" s="13" t="s">
        <v>99</v>
      </c>
      <c r="D107" s="8" t="s">
        <v>180</v>
      </c>
      <c r="E107" s="9" t="s">
        <v>202</v>
      </c>
      <c r="F107" s="20">
        <v>13.650000000000002</v>
      </c>
      <c r="G107" s="23">
        <v>8</v>
      </c>
      <c r="H107" s="10">
        <f t="shared" si="11"/>
        <v>46287.75</v>
      </c>
      <c r="I107" s="93" t="str">
        <f t="shared" si="12"/>
        <v>4º</v>
      </c>
      <c r="J107" s="141"/>
      <c r="K107" s="94" t="str">
        <f>IF(VLOOKUP(C107,'Crono Furui'!$C$2:$C$189,1,FALSE)="","VERIFICAR","OK")</f>
        <v>OK</v>
      </c>
      <c r="L107" s="91">
        <f>VLOOKUP(C107,'Crono Furui'!$C:$G,2,FALSE)</f>
        <v>0</v>
      </c>
      <c r="M107" s="90">
        <f>VLOOKUP(C107,'Crono Furui'!$C:$G,5,FALSE)</f>
        <v>46280.666666666664</v>
      </c>
      <c r="N107" s="111" t="str">
        <f t="shared" si="10"/>
        <v>ATENDE</v>
      </c>
      <c r="O107" s="134">
        <f t="shared" si="9"/>
        <v>0</v>
      </c>
      <c r="P107" s="138"/>
    </row>
    <row r="108" spans="1:16" s="11" customFormat="1" x14ac:dyDescent="0.35">
      <c r="A108" s="7">
        <v>100</v>
      </c>
      <c r="B108" s="7" t="inlineStr">
        <is>
          <t>1"-A1E-IA-9010B</t>
        </is>
      </c>
      <c r="C108" s="13" t="s">
        <v>100</v>
      </c>
      <c r="D108" s="8" t="s">
        <v>180</v>
      </c>
      <c r="E108" s="9" t="s">
        <v>202</v>
      </c>
      <c r="F108" s="20">
        <v>20.85</v>
      </c>
      <c r="G108" s="23">
        <v>18</v>
      </c>
      <c r="H108" s="10">
        <f t="shared" si="11"/>
        <v>46287.75</v>
      </c>
      <c r="I108" s="93" t="str">
        <f t="shared" si="12"/>
        <v>4º</v>
      </c>
      <c r="J108" s="141"/>
      <c r="K108" s="94" t="str">
        <f>IF(VLOOKUP(C108,'Crono Furui'!$C$2:$C$189,1,FALSE)="","VERIFICAR","OK")</f>
        <v>OK</v>
      </c>
      <c r="L108" s="91">
        <f>VLOOKUP(C108,'Crono Furui'!$C:$G,2,FALSE)</f>
        <v>0</v>
      </c>
      <c r="M108" s="90">
        <f>VLOOKUP(C108,'Crono Furui'!$C:$G,5,FALSE)</f>
        <v>46280.666666666664</v>
      </c>
      <c r="N108" s="111" t="str">
        <f t="shared" si="10"/>
        <v>ATENDE</v>
      </c>
      <c r="O108" s="134">
        <f t="shared" si="9"/>
        <v>0</v>
      </c>
      <c r="P108" s="138"/>
    </row>
    <row r="109" spans="1:16" s="11" customFormat="1" x14ac:dyDescent="0.35">
      <c r="A109" s="7">
        <v>101</v>
      </c>
      <c r="B109" s="7" t="inlineStr">
        <is>
          <t>1"-A3B-CWR-0611</t>
        </is>
      </c>
      <c r="C109" s="13" t="s">
        <v>101</v>
      </c>
      <c r="D109" s="8" t="s">
        <v>184</v>
      </c>
      <c r="E109" s="9" t="s">
        <v>185</v>
      </c>
      <c r="F109" s="20">
        <v>21.528000000000002</v>
      </c>
      <c r="G109" s="23">
        <v>6</v>
      </c>
      <c r="H109" s="10">
        <f t="shared" si="11"/>
        <v>46280.75</v>
      </c>
      <c r="I109" s="93" t="str">
        <f t="shared" si="12"/>
        <v>3º</v>
      </c>
      <c r="J109" s="141"/>
      <c r="K109" s="94" t="str">
        <f>IF(VLOOKUP(C109,'Crono Furui'!$C$2:$C$189,1,FALSE)="","VERIFICAR","OK")</f>
        <v>OK</v>
      </c>
      <c r="L109" s="91">
        <f>VLOOKUP(C109,'Crono Furui'!$C:$G,2,FALSE)</f>
        <v>0</v>
      </c>
      <c r="M109" s="90">
        <f>VLOOKUP(C109,'Crono Furui'!$C:$G,5,FALSE)</f>
        <v>46275.708333333336</v>
      </c>
      <c r="N109" s="111" t="str">
        <f t="shared" si="10"/>
        <v>ATENDE</v>
      </c>
      <c r="O109" s="134">
        <f t="shared" si="9"/>
        <v>0</v>
      </c>
      <c r="P109" s="138"/>
    </row>
    <row r="110" spans="1:16" s="11" customFormat="1" x14ac:dyDescent="0.35">
      <c r="A110" s="7">
        <v>102</v>
      </c>
      <c r="B110" s="7" t="inlineStr">
        <is>
          <t>1"-A3B-N2-9105A</t>
        </is>
      </c>
      <c r="C110" s="13" t="s">
        <v>102</v>
      </c>
      <c r="D110" s="8" t="s">
        <v>186</v>
      </c>
      <c r="E110" s="9" t="s">
        <v>183</v>
      </c>
      <c r="F110" s="20">
        <v>31.864800000000002</v>
      </c>
      <c r="G110" s="23">
        <v>20</v>
      </c>
      <c r="H110" s="10">
        <f t="shared" si="11"/>
        <v>46251.75</v>
      </c>
      <c r="I110" s="93" t="str">
        <f t="shared" si="12"/>
        <v>1º</v>
      </c>
      <c r="J110" s="141">
        <v>46262</v>
      </c>
      <c r="K110" s="94" t="str">
        <f>IF(VLOOKUP(C110,'Crono Furui'!$C$2:$C$189,1,FALSE)="","VERIFICAR","OK")</f>
        <v>OK</v>
      </c>
      <c r="L110" s="91">
        <f>VLOOKUP(C110,'Crono Furui'!$C:$G,2,FALSE)</f>
        <v>0</v>
      </c>
      <c r="M110" s="90">
        <f>VLOOKUP(C110,'Crono Furui'!$C:$G,5,FALSE)</f>
        <v>46256.666666666664</v>
      </c>
      <c r="N110" s="112">
        <f t="shared" si="10"/>
        <v>5</v>
      </c>
      <c r="O110" s="134">
        <f t="shared" si="9"/>
        <v>0</v>
      </c>
      <c r="P110" s="138"/>
    </row>
    <row r="111" spans="1:16" s="11" customFormat="1" x14ac:dyDescent="0.35">
      <c r="A111" s="7">
        <v>103</v>
      </c>
      <c r="B111" s="7" t="inlineStr">
        <is>
          <t>1"-A3B-N2-9106A</t>
        </is>
      </c>
      <c r="C111" s="13" t="s">
        <v>103</v>
      </c>
      <c r="D111" s="8" t="s">
        <v>180</v>
      </c>
      <c r="E111" s="9" t="s">
        <v>202</v>
      </c>
      <c r="F111" s="20">
        <v>18.226799999999997</v>
      </c>
      <c r="G111" s="23">
        <v>8</v>
      </c>
      <c r="H111" s="10">
        <f t="shared" si="11"/>
        <v>46287.75</v>
      </c>
      <c r="I111" s="93" t="str">
        <f t="shared" si="12"/>
        <v>4º</v>
      </c>
      <c r="J111" s="141"/>
      <c r="K111" s="94" t="str">
        <f>IF(VLOOKUP(C111,'Crono Furui'!$C$2:$C$189,1,FALSE)="","VERIFICAR","OK")</f>
        <v>OK</v>
      </c>
      <c r="L111" s="91">
        <f>VLOOKUP(C111,'Crono Furui'!$C:$G,2,FALSE)</f>
        <v>0</v>
      </c>
      <c r="M111" s="90">
        <f>VLOOKUP(C111,'Crono Furui'!$C:$G,5,FALSE)</f>
        <v>46280.666666666664</v>
      </c>
      <c r="N111" s="111" t="str">
        <f t="shared" si="10"/>
        <v>ATENDE</v>
      </c>
      <c r="O111" s="134">
        <f t="shared" si="9"/>
        <v>0</v>
      </c>
      <c r="P111" s="138"/>
    </row>
    <row r="112" spans="1:16" s="11" customFormat="1" x14ac:dyDescent="0.35">
      <c r="A112" s="7">
        <v>104</v>
      </c>
      <c r="B112" s="7" t="inlineStr">
        <is>
          <t>1"-A3B-N2-9109</t>
        </is>
      </c>
      <c r="C112" s="13" t="s">
        <v>104</v>
      </c>
      <c r="D112" s="8" t="s">
        <v>206</v>
      </c>
      <c r="E112" s="9" t="s">
        <v>185</v>
      </c>
      <c r="F112" s="20">
        <v>72.392400000000009</v>
      </c>
      <c r="G112" s="23">
        <v>12</v>
      </c>
      <c r="H112" s="10">
        <f t="shared" si="11"/>
        <v>46280.75</v>
      </c>
      <c r="I112" s="93" t="str">
        <f t="shared" si="12"/>
        <v>3º</v>
      </c>
      <c r="J112" s="141"/>
      <c r="K112" s="94" t="str">
        <f>IF(VLOOKUP(C112,'Crono Furui'!$C$2:$C$189,1,FALSE)="","VERIFICAR","OK")</f>
        <v>OK</v>
      </c>
      <c r="L112" s="91">
        <f>VLOOKUP(C112,'Crono Furui'!$C:$G,2,FALSE)</f>
        <v>0</v>
      </c>
      <c r="M112" s="90">
        <f>VLOOKUP(C112,'Crono Furui'!$C:$G,5,FALSE)</f>
        <v>46275.708333333336</v>
      </c>
      <c r="N112" s="111" t="str">
        <f t="shared" si="10"/>
        <v>ATENDE</v>
      </c>
      <c r="O112" s="134">
        <f t="shared" si="9"/>
        <v>0</v>
      </c>
      <c r="P112" s="138"/>
    </row>
    <row r="113" spans="1:16" s="11" customFormat="1" x14ac:dyDescent="0.35">
      <c r="A113" s="7">
        <v>105</v>
      </c>
      <c r="B113" s="7" t="inlineStr">
        <is>
          <t>1"-A3B-N2-9114</t>
        </is>
      </c>
      <c r="C113" s="13" t="s">
        <v>105</v>
      </c>
      <c r="D113" s="8" t="s">
        <v>189</v>
      </c>
      <c r="E113" s="9" t="s">
        <v>190</v>
      </c>
      <c r="F113" s="20">
        <v>77.943200000000019</v>
      </c>
      <c r="G113" s="23">
        <v>22</v>
      </c>
      <c r="H113" s="10">
        <f t="shared" si="11"/>
        <v>46280.75</v>
      </c>
      <c r="I113" s="93" t="str">
        <f t="shared" si="12"/>
        <v>3º</v>
      </c>
      <c r="J113" s="141"/>
      <c r="K113" s="94" t="str">
        <f>IF(VLOOKUP(C113,'Crono Furui'!$C$2:$C$189,1,FALSE)="","VERIFICAR","OK")</f>
        <v>OK</v>
      </c>
      <c r="L113" s="91">
        <f>VLOOKUP(C113,'Crono Furui'!$C:$G,2,FALSE)</f>
        <v>0</v>
      </c>
      <c r="M113" s="90">
        <f>VLOOKUP(C113,'Crono Furui'!$C:$G,5,FALSE)</f>
        <v>46275.708333333336</v>
      </c>
      <c r="N113" s="111" t="str">
        <f t="shared" si="10"/>
        <v>ATENDE</v>
      </c>
      <c r="O113" s="134">
        <f t="shared" si="9"/>
        <v>0</v>
      </c>
      <c r="P113" s="138"/>
    </row>
    <row r="114" spans="1:16" s="11" customFormat="1" x14ac:dyDescent="0.35">
      <c r="A114" s="7">
        <v>106</v>
      </c>
      <c r="B114" s="7" t="inlineStr">
        <is>
          <t>1"-A3B-N2-9116</t>
        </is>
      </c>
      <c r="C114" s="13" t="s">
        <v>106</v>
      </c>
      <c r="D114" s="8" t="s">
        <v>184</v>
      </c>
      <c r="E114" s="9" t="s">
        <v>185</v>
      </c>
      <c r="F114" s="20">
        <v>42.660600000000002</v>
      </c>
      <c r="G114" s="23">
        <v>26</v>
      </c>
      <c r="H114" s="10">
        <f t="shared" si="11"/>
        <v>46280.75</v>
      </c>
      <c r="I114" s="93" t="str">
        <f t="shared" si="12"/>
        <v>3º</v>
      </c>
      <c r="J114" s="141"/>
      <c r="K114" s="94" t="str">
        <f>IF(VLOOKUP(C114,'Crono Furui'!$C$2:$C$189,1,FALSE)="","VERIFICAR","OK")</f>
        <v>OK</v>
      </c>
      <c r="L114" s="91">
        <f>VLOOKUP(C114,'Crono Furui'!$C:$G,2,FALSE)</f>
        <v>0</v>
      </c>
      <c r="M114" s="90">
        <f>VLOOKUP(C114,'Crono Furui'!$C:$G,5,FALSE)</f>
        <v>46277.625</v>
      </c>
      <c r="N114" s="111" t="str">
        <f t="shared" si="10"/>
        <v>ATENDE</v>
      </c>
      <c r="O114" s="134">
        <f t="shared" si="9"/>
        <v>0</v>
      </c>
      <c r="P114" s="138"/>
    </row>
    <row r="115" spans="1:16" s="11" customFormat="1" x14ac:dyDescent="0.35">
      <c r="A115" s="7">
        <v>107</v>
      </c>
      <c r="B115" s="7" t="inlineStr">
        <is>
          <t>1"-B3B-N2-5101A</t>
        </is>
      </c>
      <c r="C115" s="13" t="s">
        <v>107</v>
      </c>
      <c r="D115" s="8" t="s">
        <v>187</v>
      </c>
      <c r="E115" s="9" t="s">
        <v>183</v>
      </c>
      <c r="F115" s="20">
        <v>17.311600000000002</v>
      </c>
      <c r="G115" s="23">
        <v>6</v>
      </c>
      <c r="H115" s="10">
        <f t="shared" si="11"/>
        <v>46265.75</v>
      </c>
      <c r="I115" s="93" t="str">
        <f t="shared" si="12"/>
        <v>2º</v>
      </c>
      <c r="J115" s="141"/>
      <c r="K115" s="94" t="str">
        <f>IF(VLOOKUP(C115,'Crono Furui'!$C$2:$C$189,1,FALSE)="","VERIFICAR","OK")</f>
        <v>OK</v>
      </c>
      <c r="L115" s="91">
        <f>VLOOKUP(C115,'Crono Furui'!$C:$G,2,FALSE)</f>
        <v>0</v>
      </c>
      <c r="M115" s="90">
        <f>VLOOKUP(C115,'Crono Furui'!$C:$G,5,FALSE)</f>
        <v>46262.5</v>
      </c>
      <c r="N115" s="111" t="str">
        <f t="shared" si="10"/>
        <v>ATENDE</v>
      </c>
      <c r="O115" s="134">
        <f t="shared" si="9"/>
        <v>0</v>
      </c>
      <c r="P115" s="138"/>
    </row>
    <row r="116" spans="1:16" s="11" customFormat="1" x14ac:dyDescent="0.35">
      <c r="A116" s="7">
        <v>108</v>
      </c>
      <c r="B116" s="7" t="inlineStr">
        <is>
          <t>1"-B3B-N2-5101B</t>
        </is>
      </c>
      <c r="C116" s="13" t="s">
        <v>108</v>
      </c>
      <c r="D116" s="8" t="s">
        <v>192</v>
      </c>
      <c r="E116" s="9" t="s">
        <v>183</v>
      </c>
      <c r="F116" s="20">
        <v>17.279199999999999</v>
      </c>
      <c r="G116" s="23">
        <v>6</v>
      </c>
      <c r="H116" s="10">
        <f t="shared" si="11"/>
        <v>46265.75</v>
      </c>
      <c r="I116" s="93" t="str">
        <f t="shared" si="12"/>
        <v>2º</v>
      </c>
      <c r="J116" s="141"/>
      <c r="K116" s="94" t="str">
        <f>IF(VLOOKUP(C116,'Crono Furui'!$C$2:$C$189,1,FALSE)="","VERIFICAR","OK")</f>
        <v>OK</v>
      </c>
      <c r="L116" s="91">
        <f>VLOOKUP(C116,'Crono Furui'!$C:$G,2,FALSE)</f>
        <v>0</v>
      </c>
      <c r="M116" s="90">
        <f>VLOOKUP(C116,'Crono Furui'!$C:$G,5,FALSE)</f>
        <v>46263.458333333336</v>
      </c>
      <c r="N116" s="111" t="str">
        <f t="shared" si="10"/>
        <v>ATENDE</v>
      </c>
      <c r="O116" s="134">
        <f t="shared" si="9"/>
        <v>0</v>
      </c>
      <c r="P116" s="138"/>
    </row>
    <row r="117" spans="1:16" s="11" customFormat="1" x14ac:dyDescent="0.35">
      <c r="A117" s="7">
        <v>109</v>
      </c>
      <c r="B117" s="7" t="inlineStr">
        <is>
          <t>1"-B3B-N2-5304A</t>
        </is>
      </c>
      <c r="C117" s="13" t="s">
        <v>109</v>
      </c>
      <c r="D117" s="8" t="s">
        <v>193</v>
      </c>
      <c r="E117" s="9" t="s">
        <v>183</v>
      </c>
      <c r="F117" s="20">
        <v>16.436799999999998</v>
      </c>
      <c r="G117" s="23">
        <v>6</v>
      </c>
      <c r="H117" s="10">
        <f t="shared" si="11"/>
        <v>46265.75</v>
      </c>
      <c r="I117" s="93" t="str">
        <f t="shared" si="12"/>
        <v>2º</v>
      </c>
      <c r="J117" s="141"/>
      <c r="K117" s="94" t="str">
        <f>IF(VLOOKUP(C117,'Crono Furui'!$C$2:$C$189,1,FALSE)="","VERIFICAR","OK")</f>
        <v>OK</v>
      </c>
      <c r="L117" s="91">
        <f>VLOOKUP(C117,'Crono Furui'!$C:$G,2,FALSE)</f>
        <v>0</v>
      </c>
      <c r="M117" s="90">
        <f>VLOOKUP(C117,'Crono Furui'!$C:$G,5,FALSE)</f>
        <v>46263.458333333336</v>
      </c>
      <c r="N117" s="111" t="str">
        <f t="shared" si="10"/>
        <v>ATENDE</v>
      </c>
      <c r="O117" s="134">
        <f t="shared" si="9"/>
        <v>0</v>
      </c>
      <c r="P117" s="138"/>
    </row>
    <row r="118" spans="1:16" s="11" customFormat="1" x14ac:dyDescent="0.35">
      <c r="A118" s="7">
        <v>110</v>
      </c>
      <c r="B118" s="7" t="inlineStr">
        <is>
          <t>1"-B3B-N2-5304B</t>
        </is>
      </c>
      <c r="C118" s="13" t="s">
        <v>110</v>
      </c>
      <c r="D118" s="8" t="s">
        <v>208</v>
      </c>
      <c r="E118" s="9" t="s">
        <v>183</v>
      </c>
      <c r="F118" s="20">
        <v>16.436799999999998</v>
      </c>
      <c r="G118" s="23">
        <v>6</v>
      </c>
      <c r="H118" s="10">
        <f t="shared" si="11"/>
        <v>46265.75</v>
      </c>
      <c r="I118" s="93" t="str">
        <f t="shared" si="12"/>
        <v>2º</v>
      </c>
      <c r="J118" s="141"/>
      <c r="K118" s="94" t="str">
        <f>IF(VLOOKUP(C118,'Crono Furui'!$C$2:$C$189,1,FALSE)="","VERIFICAR","OK")</f>
        <v>OK</v>
      </c>
      <c r="L118" s="91">
        <f>VLOOKUP(C118,'Crono Furui'!$C:$G,2,FALSE)</f>
        <v>0</v>
      </c>
      <c r="M118" s="90">
        <f>VLOOKUP(C118,'Crono Furui'!$C:$G,5,FALSE)</f>
        <v>46263.458333333336</v>
      </c>
      <c r="N118" s="111" t="str">
        <f t="shared" si="10"/>
        <v>ATENDE</v>
      </c>
      <c r="O118" s="134">
        <f t="shared" si="9"/>
        <v>0</v>
      </c>
      <c r="P118" s="138"/>
    </row>
    <row r="119" spans="1:16" s="11" customFormat="1" x14ac:dyDescent="0.35">
      <c r="A119" s="7">
        <v>111</v>
      </c>
      <c r="B119" s="7" t="inlineStr">
        <is>
          <t>2"-A1E-CF-4104</t>
        </is>
      </c>
      <c r="C119" s="13" t="s">
        <v>111</v>
      </c>
      <c r="D119" s="8" t="s">
        <v>188</v>
      </c>
      <c r="E119" s="9" t="s">
        <v>183</v>
      </c>
      <c r="F119" s="20">
        <v>150</v>
      </c>
      <c r="G119" s="23">
        <v>21</v>
      </c>
      <c r="H119" s="10">
        <f t="shared" si="11"/>
        <v>46251.75</v>
      </c>
      <c r="I119" s="93" t="str">
        <f t="shared" si="12"/>
        <v>1º</v>
      </c>
      <c r="J119" s="141">
        <v>46262</v>
      </c>
      <c r="K119" s="94" t="str">
        <f>IF(VLOOKUP(C119,'Crono Furui'!$C$2:$C$189,1,FALSE)="","VERIFICAR","OK")</f>
        <v>OK</v>
      </c>
      <c r="L119" s="91">
        <f>VLOOKUP(C119,'Crono Furui'!$C:$G,2,FALSE)</f>
        <v>0</v>
      </c>
      <c r="M119" s="90">
        <f>VLOOKUP(C119,'Crono Furui'!$C:$G,5,FALSE)</f>
        <v>46256.666666666664</v>
      </c>
      <c r="N119" s="112">
        <f t="shared" si="10"/>
        <v>5</v>
      </c>
      <c r="O119" s="134">
        <f t="shared" si="9"/>
        <v>0</v>
      </c>
      <c r="P119" s="138"/>
    </row>
    <row r="120" spans="1:16" s="11" customFormat="1" x14ac:dyDescent="0.35">
      <c r="A120" s="7">
        <v>112</v>
      </c>
      <c r="B120" s="7" t="inlineStr">
        <is>
          <t>2"-A1E-IA-9709</t>
        </is>
      </c>
      <c r="C120" s="13" t="s">
        <v>112</v>
      </c>
      <c r="D120" s="8" t="s">
        <v>211</v>
      </c>
      <c r="E120" s="9" t="s">
        <v>212</v>
      </c>
      <c r="F120" s="20">
        <v>273.38040000000007</v>
      </c>
      <c r="G120" s="23">
        <v>51</v>
      </c>
      <c r="H120" s="10">
        <f t="shared" si="11"/>
        <v>46287.75</v>
      </c>
      <c r="I120" s="93" t="str">
        <f t="shared" si="12"/>
        <v>4º</v>
      </c>
      <c r="J120" s="141"/>
      <c r="K120" s="94" t="str">
        <f>IF(VLOOKUP(C120,'Crono Furui'!$C$2:$C$189,1,FALSE)="","VERIFICAR","OK")</f>
        <v>OK</v>
      </c>
      <c r="L120" s="91">
        <f>VLOOKUP(C120,'Crono Furui'!$C:$G,2,FALSE)</f>
        <v>0</v>
      </c>
      <c r="M120" s="90">
        <f>VLOOKUP(C120,'Crono Furui'!$C:$G,5,FALSE)</f>
        <v>46280.666666666664</v>
      </c>
      <c r="N120" s="111" t="str">
        <f t="shared" si="10"/>
        <v>ATENDE</v>
      </c>
      <c r="O120" s="134">
        <f t="shared" si="9"/>
        <v>0</v>
      </c>
      <c r="P120" s="138"/>
    </row>
    <row r="121" spans="1:16" s="11" customFormat="1" x14ac:dyDescent="0.35">
      <c r="A121" s="7">
        <v>113</v>
      </c>
      <c r="B121" s="7" t="inlineStr">
        <is>
          <t>2"-A3B-N2-9719</t>
        </is>
      </c>
      <c r="C121" s="13" t="s">
        <v>113</v>
      </c>
      <c r="D121" s="8" t="s">
        <v>211</v>
      </c>
      <c r="E121" s="9" t="s">
        <v>212</v>
      </c>
      <c r="F121" s="20">
        <v>166.95300000000003</v>
      </c>
      <c r="G121" s="23">
        <v>88</v>
      </c>
      <c r="H121" s="10">
        <f t="shared" si="11"/>
        <v>46287.75</v>
      </c>
      <c r="I121" s="93" t="str">
        <f t="shared" si="12"/>
        <v>4º</v>
      </c>
      <c r="J121" s="141"/>
      <c r="K121" s="94" t="str">
        <f>IF(VLOOKUP(C121,'Crono Furui'!$C$2:$C$189,1,FALSE)="","VERIFICAR","OK")</f>
        <v>OK</v>
      </c>
      <c r="L121" s="91">
        <f>VLOOKUP(C121,'Crono Furui'!$C:$G,2,FALSE)</f>
        <v>0</v>
      </c>
      <c r="M121" s="90">
        <f>VLOOKUP(C121,'Crono Furui'!$C:$G,5,FALSE)</f>
        <v>46280.666666666664</v>
      </c>
      <c r="N121" s="111" t="str">
        <f t="shared" si="10"/>
        <v>ATENDE</v>
      </c>
      <c r="O121" s="134">
        <f t="shared" si="9"/>
        <v>0</v>
      </c>
      <c r="P121" s="138"/>
    </row>
    <row r="122" spans="1:16" s="11" customFormat="1" x14ac:dyDescent="0.35">
      <c r="A122" s="7">
        <v>114</v>
      </c>
      <c r="B122" s="7" t="inlineStr">
        <is>
          <t>3"-A1E-BOG-7204A</t>
        </is>
      </c>
      <c r="C122" s="13" t="s">
        <v>114</v>
      </c>
      <c r="D122" s="8" t="s">
        <v>180</v>
      </c>
      <c r="E122" s="9" t="s">
        <v>202</v>
      </c>
      <c r="F122" s="20">
        <v>350</v>
      </c>
      <c r="G122" s="23">
        <v>75</v>
      </c>
      <c r="H122" s="10">
        <f t="shared" si="11"/>
        <v>46287.75</v>
      </c>
      <c r="I122" s="93" t="str">
        <f t="shared" si="12"/>
        <v>4º</v>
      </c>
      <c r="J122" s="141"/>
      <c r="K122" s="94" t="str">
        <f>IF(VLOOKUP(C122,'Crono Furui'!$C$2:$C$189,1,FALSE)="","VERIFICAR","OK")</f>
        <v>OK</v>
      </c>
      <c r="L122" s="91">
        <f>VLOOKUP(C122,'Crono Furui'!$C:$G,2,FALSE)</f>
        <v>0</v>
      </c>
      <c r="M122" s="90">
        <f>VLOOKUP(C122,'Crono Furui'!$C:$G,5,FALSE)</f>
        <v>46280.666666666664</v>
      </c>
      <c r="N122" s="111" t="str">
        <f t="shared" si="10"/>
        <v>ATENDE</v>
      </c>
      <c r="O122" s="134">
        <f t="shared" si="9"/>
        <v>0</v>
      </c>
      <c r="P122" s="138"/>
    </row>
    <row r="123" spans="1:16" s="11" customFormat="1" x14ac:dyDescent="0.35">
      <c r="A123" s="7">
        <v>115</v>
      </c>
      <c r="B123" s="7" t="inlineStr">
        <is>
          <t>3"-A3B-HM-3103</t>
        </is>
      </c>
      <c r="C123" s="13" t="s">
        <v>115</v>
      </c>
      <c r="D123" s="8" t="s">
        <v>206</v>
      </c>
      <c r="E123" s="9" t="s">
        <v>185</v>
      </c>
      <c r="F123" s="20">
        <v>4.5</v>
      </c>
      <c r="G123" s="23">
        <v>21</v>
      </c>
      <c r="H123" s="10">
        <f t="shared" si="11"/>
        <v>46280.75</v>
      </c>
      <c r="I123" s="93" t="str">
        <f t="shared" si="12"/>
        <v>3º</v>
      </c>
      <c r="J123" s="141"/>
      <c r="K123" s="94" t="str">
        <f>IF(VLOOKUP(C123,'Crono Furui'!$C$2:$C$189,1,FALSE)="","VERIFICAR","OK")</f>
        <v>OK</v>
      </c>
      <c r="L123" s="91">
        <f>VLOOKUP(C123,'Crono Furui'!$C:$G,2,FALSE)</f>
        <v>0</v>
      </c>
      <c r="M123" s="90">
        <f>VLOOKUP(C123,'Crono Furui'!$C:$G,5,FALSE)</f>
        <v>46276.666666666664</v>
      </c>
      <c r="N123" s="111" t="str">
        <f t="shared" si="10"/>
        <v>ATENDE</v>
      </c>
      <c r="O123" s="134">
        <f t="shared" si="9"/>
        <v>0</v>
      </c>
      <c r="P123" s="138"/>
    </row>
    <row r="124" spans="1:16" s="11" customFormat="1" x14ac:dyDescent="0.35">
      <c r="A124" s="7">
        <v>116</v>
      </c>
      <c r="B124" s="7" t="inlineStr">
        <is>
          <t>6"-B3B-NG-0304A</t>
        </is>
      </c>
      <c r="C124" s="13" t="s">
        <v>116</v>
      </c>
      <c r="D124" s="8" t="s">
        <v>184</v>
      </c>
      <c r="E124" s="9" t="s">
        <v>185</v>
      </c>
      <c r="F124" s="20">
        <v>190.23475000000002</v>
      </c>
      <c r="G124" s="23">
        <v>8</v>
      </c>
      <c r="H124" s="10">
        <f t="shared" si="11"/>
        <v>46280.75</v>
      </c>
      <c r="I124" s="93" t="str">
        <f t="shared" si="12"/>
        <v>3º</v>
      </c>
      <c r="J124" s="141"/>
      <c r="K124" s="94" t="str">
        <f>IF(VLOOKUP(C124,'Crono Furui'!$C$2:$C$189,1,FALSE)="","VERIFICAR","OK")</f>
        <v>OK</v>
      </c>
      <c r="L124" s="91">
        <f>VLOOKUP(C124,'Crono Furui'!$C:$G,2,FALSE)</f>
        <v>0</v>
      </c>
      <c r="M124" s="90">
        <f>VLOOKUP(C124,'Crono Furui'!$C:$G,5,FALSE)</f>
        <v>46277.625</v>
      </c>
      <c r="N124" s="111" t="str">
        <f t="shared" si="10"/>
        <v>ATENDE</v>
      </c>
      <c r="O124" s="134">
        <f t="shared" si="9"/>
        <v>0</v>
      </c>
      <c r="P124" s="138"/>
    </row>
    <row r="125" spans="1:16" s="11" customFormat="1" x14ac:dyDescent="0.35">
      <c r="A125" s="7">
        <v>117</v>
      </c>
      <c r="B125" s="7" t="inlineStr">
        <is>
          <t>6"-B3B-NG-0304B</t>
        </is>
      </c>
      <c r="C125" s="13" t="s">
        <v>117</v>
      </c>
      <c r="D125" s="8" t="s">
        <v>184</v>
      </c>
      <c r="E125" s="9" t="s">
        <v>185</v>
      </c>
      <c r="F125" s="20">
        <v>115.65133</v>
      </c>
      <c r="G125" s="23">
        <v>6</v>
      </c>
      <c r="H125" s="10">
        <f t="shared" si="11"/>
        <v>46280.75</v>
      </c>
      <c r="I125" s="93" t="str">
        <f t="shared" si="12"/>
        <v>3º</v>
      </c>
      <c r="J125" s="141"/>
      <c r="K125" s="94" t="str">
        <f>IF(VLOOKUP(C125,'Crono Furui'!$C$2:$C$189,1,FALSE)="","VERIFICAR","OK")</f>
        <v>OK</v>
      </c>
      <c r="L125" s="91">
        <f>VLOOKUP(C125,'Crono Furui'!$C:$G,2,FALSE)</f>
        <v>0</v>
      </c>
      <c r="M125" s="90">
        <f>VLOOKUP(C125,'Crono Furui'!$C:$G,5,FALSE)</f>
        <v>46277.625</v>
      </c>
      <c r="N125" s="111" t="str">
        <f t="shared" si="10"/>
        <v>ATENDE</v>
      </c>
      <c r="O125" s="134">
        <f t="shared" si="9"/>
        <v>0</v>
      </c>
      <c r="P125" s="138"/>
    </row>
    <row r="126" spans="1:16" s="11" customFormat="1" x14ac:dyDescent="0.35">
      <c r="A126" s="7">
        <v>118</v>
      </c>
      <c r="B126" s="7" t="inlineStr">
        <is>
          <t>6"-D3B-NG-0407C</t>
        </is>
      </c>
      <c r="C126" s="13" t="s">
        <v>118</v>
      </c>
      <c r="D126" s="8" t="s">
        <v>184</v>
      </c>
      <c r="E126" s="9" t="s">
        <v>185</v>
      </c>
      <c r="F126" s="20">
        <v>385.71559999999999</v>
      </c>
      <c r="G126" s="23">
        <v>12</v>
      </c>
      <c r="H126" s="10">
        <f t="shared" si="11"/>
        <v>46280.75</v>
      </c>
      <c r="I126" s="93" t="str">
        <f t="shared" si="12"/>
        <v>3º</v>
      </c>
      <c r="J126" s="141"/>
      <c r="K126" s="94" t="str">
        <f>IF(VLOOKUP(C126,'Crono Furui'!$C$2:$C$189,1,FALSE)="","VERIFICAR","OK")</f>
        <v>OK</v>
      </c>
      <c r="L126" s="91">
        <f>VLOOKUP(C126,'Crono Furui'!$C:$G,2,FALSE)</f>
        <v>0</v>
      </c>
      <c r="M126" s="90">
        <f>VLOOKUP(C126,'Crono Furui'!$C:$G,5,FALSE)</f>
        <v>46277.625</v>
      </c>
      <c r="N126" s="111" t="str">
        <f t="shared" si="10"/>
        <v>ATENDE</v>
      </c>
      <c r="O126" s="134">
        <f t="shared" si="9"/>
        <v>0</v>
      </c>
      <c r="P126" s="138"/>
    </row>
    <row r="127" spans="1:16" s="11" customFormat="1" x14ac:dyDescent="0.35">
      <c r="A127" s="7">
        <v>119</v>
      </c>
      <c r="B127" s="7" t="inlineStr">
        <is>
          <t>6"-D3B-NG-3104A</t>
        </is>
      </c>
      <c r="C127" s="13" t="s">
        <v>119</v>
      </c>
      <c r="D127" s="8" t="s">
        <v>182</v>
      </c>
      <c r="E127" s="9" t="s">
        <v>183</v>
      </c>
      <c r="F127" s="20">
        <v>429.7072</v>
      </c>
      <c r="G127" s="23">
        <v>20</v>
      </c>
      <c r="H127" s="10">
        <f t="shared" si="11"/>
        <v>46251.75</v>
      </c>
      <c r="I127" s="93" t="str">
        <f t="shared" si="12"/>
        <v>1º</v>
      </c>
      <c r="J127" s="141">
        <v>46262</v>
      </c>
      <c r="K127" s="94" t="str">
        <f>IF(VLOOKUP(C127,'Crono Furui'!$C$2:$C$189,1,FALSE)="","VERIFICAR","OK")</f>
        <v>OK</v>
      </c>
      <c r="L127" s="91">
        <f>VLOOKUP(C127,'Crono Furui'!$C:$G,2,FALSE)</f>
        <v>0</v>
      </c>
      <c r="M127" s="90">
        <f>VLOOKUP(C127,'Crono Furui'!$C:$G,5,FALSE)</f>
        <v>46256.666666666664</v>
      </c>
      <c r="N127" s="112">
        <f t="shared" si="10"/>
        <v>5</v>
      </c>
      <c r="O127" s="134">
        <f t="shared" si="9"/>
        <v>0</v>
      </c>
      <c r="P127" s="138"/>
    </row>
    <row r="128" spans="1:16" s="11" customFormat="1" x14ac:dyDescent="0.35">
      <c r="A128" s="7">
        <v>120</v>
      </c>
      <c r="B128" s="7" t="inlineStr">
        <is>
          <t>8"-A3B-HF-0307</t>
        </is>
      </c>
      <c r="C128" s="13" t="s">
        <v>120</v>
      </c>
      <c r="D128" s="8" t="s">
        <v>210</v>
      </c>
      <c r="E128" s="9" t="s">
        <v>190</v>
      </c>
      <c r="F128" s="20">
        <v>127.87341999999998</v>
      </c>
      <c r="G128" s="23">
        <v>4</v>
      </c>
      <c r="H128" s="10">
        <f t="shared" si="11"/>
        <v>46280.75</v>
      </c>
      <c r="I128" s="93" t="str">
        <f t="shared" si="12"/>
        <v>3º</v>
      </c>
      <c r="J128" s="141"/>
      <c r="K128" s="94" t="str">
        <f>IF(VLOOKUP(C128,'Crono Furui'!$C$2:$C$189,1,FALSE)="","VERIFICAR","OK")</f>
        <v>OK</v>
      </c>
      <c r="L128" s="91">
        <f>VLOOKUP(C128,'Crono Furui'!$C:$G,2,FALSE)</f>
        <v>0</v>
      </c>
      <c r="M128" s="90">
        <f>VLOOKUP(C128,'Crono Furui'!$C:$G,5,FALSE)</f>
        <v>46277.625</v>
      </c>
      <c r="N128" s="111" t="str">
        <f t="shared" si="10"/>
        <v>ATENDE</v>
      </c>
      <c r="O128" s="134">
        <f t="shared" si="9"/>
        <v>0</v>
      </c>
      <c r="P128" s="138"/>
    </row>
    <row r="129" spans="1:16" s="11" customFormat="1" x14ac:dyDescent="0.35">
      <c r="A129" s="7">
        <v>121</v>
      </c>
      <c r="B129" s="7" t="inlineStr">
        <is>
          <t>8"-A3B-HF-3104</t>
        </is>
      </c>
      <c r="C129" s="13" t="s">
        <v>121</v>
      </c>
      <c r="D129" s="8" t="s">
        <v>207</v>
      </c>
      <c r="E129" s="9" t="s">
        <v>190</v>
      </c>
      <c r="F129" s="20">
        <v>129.57493999999997</v>
      </c>
      <c r="G129" s="23">
        <v>4</v>
      </c>
      <c r="H129" s="10">
        <f t="shared" si="11"/>
        <v>46280.75</v>
      </c>
      <c r="I129" s="93" t="str">
        <f t="shared" si="12"/>
        <v>3º</v>
      </c>
      <c r="J129" s="141"/>
      <c r="K129" s="94" t="str">
        <f>IF(VLOOKUP(C129,'Crono Furui'!$C$2:$C$189,1,FALSE)="","VERIFICAR","OK")</f>
        <v>OK</v>
      </c>
      <c r="L129" s="91">
        <f>VLOOKUP(C129,'Crono Furui'!$C:$G,2,FALSE)</f>
        <v>0</v>
      </c>
      <c r="M129" s="90">
        <f>VLOOKUP(C129,'Crono Furui'!$C:$G,5,FALSE)</f>
        <v>46277.625</v>
      </c>
      <c r="N129" s="111" t="str">
        <f t="shared" si="10"/>
        <v>ATENDE</v>
      </c>
      <c r="O129" s="134">
        <f t="shared" si="9"/>
        <v>0</v>
      </c>
      <c r="P129" s="138"/>
    </row>
    <row r="130" spans="1:16" s="11" customFormat="1" x14ac:dyDescent="0.35">
      <c r="A130" s="7">
        <v>122</v>
      </c>
      <c r="B130" s="7" t="inlineStr">
        <is>
          <t>8"-B3B-NG-0304</t>
        </is>
      </c>
      <c r="C130" s="13" t="s">
        <v>122</v>
      </c>
      <c r="D130" s="8" t="s">
        <v>210</v>
      </c>
      <c r="E130" s="9" t="s">
        <v>190</v>
      </c>
      <c r="F130" s="20">
        <v>314.48681999999997</v>
      </c>
      <c r="G130" s="23">
        <v>10</v>
      </c>
      <c r="H130" s="10">
        <f t="shared" si="11"/>
        <v>46280.75</v>
      </c>
      <c r="I130" s="93" t="str">
        <f t="shared" si="12"/>
        <v>3º</v>
      </c>
      <c r="J130" s="141"/>
      <c r="K130" s="94" t="str">
        <f>IF(VLOOKUP(C130,'Crono Furui'!$C$2:$C$189,1,FALSE)="","VERIFICAR","OK")</f>
        <v>OK</v>
      </c>
      <c r="L130" s="91">
        <f>VLOOKUP(C130,'Crono Furui'!$C:$G,2,FALSE)</f>
        <v>0</v>
      </c>
      <c r="M130" s="90">
        <f>VLOOKUP(C130,'Crono Furui'!$C:$G,5,FALSE)</f>
        <v>46277.625</v>
      </c>
      <c r="N130" s="111" t="str">
        <f t="shared" si="10"/>
        <v>ATENDE</v>
      </c>
      <c r="O130" s="134">
        <f t="shared" si="9"/>
        <v>0</v>
      </c>
      <c r="P130" s="138"/>
    </row>
    <row r="131" spans="1:16" s="11" customFormat="1" x14ac:dyDescent="0.35">
      <c r="A131" s="7">
        <v>123</v>
      </c>
      <c r="B131" s="7" t="inlineStr">
        <is>
          <t>4"-B3B-LO-5325B</t>
        </is>
      </c>
      <c r="C131" s="13" t="s">
        <v>123</v>
      </c>
      <c r="D131" s="8" t="s">
        <v>192</v>
      </c>
      <c r="E131" s="9" t="s">
        <v>183</v>
      </c>
      <c r="F131" s="20">
        <v>172.51175000000003</v>
      </c>
      <c r="G131" s="23">
        <v>25</v>
      </c>
      <c r="H131" s="10">
        <f t="shared" si="11"/>
        <v>46265.75</v>
      </c>
      <c r="I131" s="93" t="str">
        <f t="shared" si="12"/>
        <v>2º</v>
      </c>
      <c r="J131" s="141"/>
      <c r="K131" s="94" t="str">
        <f>IF(VLOOKUP(C131,'Crono Furui'!$C$2:$C$189,1,FALSE)="","VERIFICAR","OK")</f>
        <v>OK</v>
      </c>
      <c r="L131" s="91">
        <f>VLOOKUP(C131,'Crono Furui'!$C:$G,2,FALSE)</f>
        <v>0</v>
      </c>
      <c r="M131" s="90">
        <f>VLOOKUP(C131,'Crono Furui'!$C:$G,5,FALSE)</f>
        <v>46263.458333333336</v>
      </c>
      <c r="N131" s="111" t="str">
        <f t="shared" si="10"/>
        <v>ATENDE</v>
      </c>
      <c r="O131" s="134">
        <f t="shared" si="9"/>
        <v>0</v>
      </c>
      <c r="P131" s="138"/>
    </row>
    <row r="132" spans="1:16" s="11" customFormat="1" x14ac:dyDescent="0.35">
      <c r="A132" s="7">
        <v>124</v>
      </c>
      <c r="B132" s="7" t="inlineStr">
        <is>
          <t>4"-B3B-LO-5113B</t>
        </is>
      </c>
      <c r="C132" s="13" t="s">
        <v>124</v>
      </c>
      <c r="D132" s="8" t="s">
        <v>192</v>
      </c>
      <c r="E132" s="9" t="s">
        <v>183</v>
      </c>
      <c r="F132" s="20">
        <v>94.572749999999999</v>
      </c>
      <c r="G132" s="23">
        <v>14</v>
      </c>
      <c r="H132" s="10">
        <f t="shared" si="11"/>
        <v>46265.75</v>
      </c>
      <c r="I132" s="93" t="str">
        <f t="shared" si="12"/>
        <v>2º</v>
      </c>
      <c r="J132" s="141">
        <v>46268</v>
      </c>
      <c r="K132" s="94" t="str">
        <f>IF(VLOOKUP(C132,'Crono Furui'!$C$2:$C$189,1,FALSE)="","VERIFICAR","OK")</f>
        <v>OK</v>
      </c>
      <c r="L132" s="91">
        <f>VLOOKUP(C132,'Crono Furui'!$C:$G,2,FALSE)</f>
        <v>0</v>
      </c>
      <c r="M132" s="90">
        <f>VLOOKUP(C132,'Crono Furui'!$C:$G,5,FALSE)</f>
        <v>46263.458333333336</v>
      </c>
      <c r="N132" s="111" t="str">
        <f t="shared" si="10"/>
        <v>ATENDE</v>
      </c>
      <c r="O132" s="134">
        <f t="shared" si="9"/>
        <v>0</v>
      </c>
      <c r="P132" s="138"/>
    </row>
    <row r="133" spans="1:16" s="11" customFormat="1" x14ac:dyDescent="0.35">
      <c r="A133" s="7">
        <v>125</v>
      </c>
      <c r="B133" s="7" t="inlineStr">
        <is>
          <t>4"-B3B-LO-5309B</t>
        </is>
      </c>
      <c r="C133" s="13" t="s">
        <v>125</v>
      </c>
      <c r="D133" s="8" t="s">
        <v>208</v>
      </c>
      <c r="E133" s="9" t="s">
        <v>183</v>
      </c>
      <c r="F133" s="20">
        <v>167.50725</v>
      </c>
      <c r="G133" s="23">
        <v>27</v>
      </c>
      <c r="H133" s="10">
        <f t="shared" si="11"/>
        <v>46265.75</v>
      </c>
      <c r="I133" s="93" t="str">
        <f t="shared" si="12"/>
        <v>2º</v>
      </c>
      <c r="J133" s="141">
        <v>46268</v>
      </c>
      <c r="K133" s="94" t="str">
        <f>IF(VLOOKUP(C133,'Crono Furui'!$C$2:$C$189,1,FALSE)="","VERIFICAR","OK")</f>
        <v>OK</v>
      </c>
      <c r="L133" s="91">
        <f>VLOOKUP(C133,'Crono Furui'!$C:$G,2,FALSE)</f>
        <v>0</v>
      </c>
      <c r="M133" s="90">
        <f>VLOOKUP(C133,'Crono Furui'!$C:$G,5,FALSE)</f>
        <v>46263.458333333336</v>
      </c>
      <c r="N133" s="111" t="str">
        <f t="shared" si="10"/>
        <v>ATENDE</v>
      </c>
      <c r="O133" s="134">
        <f t="shared" si="9"/>
        <v>0</v>
      </c>
      <c r="P133" s="138"/>
    </row>
    <row r="134" spans="1:16" s="11" customFormat="1" x14ac:dyDescent="0.35">
      <c r="A134" s="7">
        <v>126</v>
      </c>
      <c r="B134" s="7" t="inlineStr">
        <is>
          <t>4"-B3B-LO-5325A</t>
        </is>
      </c>
      <c r="C134" s="13" t="s">
        <v>126</v>
      </c>
      <c r="D134" s="8" t="s">
        <v>208</v>
      </c>
      <c r="E134" s="9" t="s">
        <v>183</v>
      </c>
      <c r="F134" s="20">
        <v>172.67250000000004</v>
      </c>
      <c r="G134" s="23">
        <v>25</v>
      </c>
      <c r="H134" s="10">
        <f t="shared" si="11"/>
        <v>46265.75</v>
      </c>
      <c r="I134" s="93" t="str">
        <f t="shared" si="12"/>
        <v>2º</v>
      </c>
      <c r="J134" s="141">
        <v>46268</v>
      </c>
      <c r="K134" s="94" t="str">
        <f>IF(VLOOKUP(C134,'Crono Furui'!$C$2:$C$189,1,FALSE)="","VERIFICAR","OK")</f>
        <v>OK</v>
      </c>
      <c r="L134" s="91">
        <f>VLOOKUP(C134,'Crono Furui'!$C:$G,2,FALSE)</f>
        <v>0</v>
      </c>
      <c r="M134" s="90">
        <f>VLOOKUP(C134,'Crono Furui'!$C:$G,5,FALSE)</f>
        <v>46263.458333333336</v>
      </c>
      <c r="N134" s="111" t="str">
        <f t="shared" si="10"/>
        <v>ATENDE</v>
      </c>
      <c r="O134" s="134">
        <f t="shared" si="9"/>
        <v>0</v>
      </c>
      <c r="P134" s="138"/>
    </row>
    <row r="135" spans="1:16" s="11" customFormat="1" x14ac:dyDescent="0.35">
      <c r="A135" s="7">
        <v>127</v>
      </c>
      <c r="B135" s="7" t="inlineStr">
        <is>
          <t>4"-B3B-LO-5309A</t>
        </is>
      </c>
      <c r="C135" s="13" t="s">
        <v>127</v>
      </c>
      <c r="D135" s="8" t="s">
        <v>208</v>
      </c>
      <c r="E135" s="9" t="s">
        <v>183</v>
      </c>
      <c r="F135" s="20">
        <v>167.50725</v>
      </c>
      <c r="G135" s="23">
        <v>27</v>
      </c>
      <c r="H135" s="10">
        <f t="shared" si="11"/>
        <v>46265.75</v>
      </c>
      <c r="I135" s="93" t="str">
        <f t="shared" si="12"/>
        <v>2º</v>
      </c>
      <c r="J135" s="141">
        <v>46268</v>
      </c>
      <c r="K135" s="94" t="str">
        <f>IF(VLOOKUP(C135,'Crono Furui'!$C$2:$C$189,1,FALSE)="","VERIFICAR","OK")</f>
        <v>OK</v>
      </c>
      <c r="L135" s="91">
        <f>VLOOKUP(C135,'Crono Furui'!$C:$G,2,FALSE)</f>
        <v>0</v>
      </c>
      <c r="M135" s="90">
        <f>VLOOKUP(C135,'Crono Furui'!$C:$G,5,FALSE)</f>
        <v>46263.458333333336</v>
      </c>
      <c r="N135" s="111" t="str">
        <f t="shared" si="10"/>
        <v>ATENDE</v>
      </c>
      <c r="O135" s="134">
        <f t="shared" si="9"/>
        <v>0</v>
      </c>
      <c r="P135" s="138"/>
    </row>
    <row r="136" spans="1:16" s="11" customFormat="1" x14ac:dyDescent="0.35">
      <c r="A136" s="7">
        <v>128</v>
      </c>
      <c r="B136" s="7" t="inlineStr">
        <is>
          <t>4"-B3B-LO-5119B</t>
        </is>
      </c>
      <c r="C136" s="13" t="s">
        <v>128</v>
      </c>
      <c r="D136" s="8" t="s">
        <v>187</v>
      </c>
      <c r="E136" s="9" t="s">
        <v>183</v>
      </c>
      <c r="F136" s="20">
        <v>100.07300000000001</v>
      </c>
      <c r="G136" s="23">
        <v>13</v>
      </c>
      <c r="H136" s="10">
        <f t="shared" si="11"/>
        <v>46265.75</v>
      </c>
      <c r="I136" s="93" t="str">
        <f t="shared" si="12"/>
        <v>2º</v>
      </c>
      <c r="J136" s="141">
        <v>46268</v>
      </c>
      <c r="K136" s="94" t="str">
        <f>IF(VLOOKUP(C136,'Crono Furui'!$C$2:$C$189,1,FALSE)="","VERIFICAR","OK")</f>
        <v>OK</v>
      </c>
      <c r="L136" s="91">
        <f>VLOOKUP(C136,'Crono Furui'!$C:$G,2,FALSE)</f>
        <v>0</v>
      </c>
      <c r="M136" s="90">
        <f>VLOOKUP(C136,'Crono Furui'!$C:$G,5,FALSE)</f>
        <v>46263.458333333336</v>
      </c>
      <c r="N136" s="111" t="str">
        <f t="shared" si="10"/>
        <v>ATENDE</v>
      </c>
      <c r="O136" s="134">
        <f t="shared" si="9"/>
        <v>0</v>
      </c>
      <c r="P136" s="138"/>
    </row>
    <row r="137" spans="1:16" s="11" customFormat="1" x14ac:dyDescent="0.35">
      <c r="A137" s="7">
        <v>129</v>
      </c>
      <c r="B137" s="7" t="inlineStr">
        <is>
          <t>4"-B3B-LO-5119A</t>
        </is>
      </c>
      <c r="C137" s="13" t="s">
        <v>129</v>
      </c>
      <c r="D137" s="8" t="s">
        <v>187</v>
      </c>
      <c r="E137" s="9" t="s">
        <v>183</v>
      </c>
      <c r="F137" s="20">
        <v>100.07300000000001</v>
      </c>
      <c r="G137" s="23">
        <v>13</v>
      </c>
      <c r="H137" s="10">
        <f t="shared" ref="H137:H168" si="13">VLOOKUP(D137,$D$195:$F$231,3,FALSE)</f>
        <v>46265.75</v>
      </c>
      <c r="I137" s="93" t="str">
        <f t="shared" ref="I137:I168" si="14">VLOOKUP(H137,$H$197:$I$200,2,FALSE)</f>
        <v>2º</v>
      </c>
      <c r="J137" s="141">
        <v>46268</v>
      </c>
      <c r="K137" s="94" t="str">
        <f>IF(VLOOKUP(C137,'Crono Furui'!$C$2:$C$189,1,FALSE)="","VERIFICAR","OK")</f>
        <v>OK</v>
      </c>
      <c r="L137" s="91">
        <f>VLOOKUP(C137,'Crono Furui'!$C:$G,2,FALSE)</f>
        <v>0</v>
      </c>
      <c r="M137" s="90">
        <f>VLOOKUP(C137,'Crono Furui'!$C:$G,5,FALSE)</f>
        <v>46263.458333333336</v>
      </c>
      <c r="N137" s="111" t="str">
        <f t="shared" si="10"/>
        <v>ATENDE</v>
      </c>
      <c r="O137" s="134">
        <f t="shared" ref="O137:O185" si="15">L137*F137</f>
        <v>0</v>
      </c>
      <c r="P137" s="138"/>
    </row>
    <row r="138" spans="1:16" s="11" customFormat="1" x14ac:dyDescent="0.35">
      <c r="A138" s="7">
        <v>130</v>
      </c>
      <c r="B138" s="7" t="inlineStr">
        <is>
          <t>4"-B3B-LO-5113A</t>
        </is>
      </c>
      <c r="C138" s="13" t="s">
        <v>130</v>
      </c>
      <c r="D138" s="8" t="s">
        <v>187</v>
      </c>
      <c r="E138" s="9" t="s">
        <v>183</v>
      </c>
      <c r="F138" s="20">
        <v>94.572749999999985</v>
      </c>
      <c r="G138" s="23">
        <v>14</v>
      </c>
      <c r="H138" s="10">
        <f t="shared" si="13"/>
        <v>46265.75</v>
      </c>
      <c r="I138" s="93" t="str">
        <f t="shared" si="14"/>
        <v>2º</v>
      </c>
      <c r="J138" s="141">
        <v>46268</v>
      </c>
      <c r="K138" s="94" t="str">
        <f>IF(VLOOKUP(C138,'Crono Furui'!$C$2:$C$189,1,FALSE)="","VERIFICAR","OK")</f>
        <v>OK</v>
      </c>
      <c r="L138" s="91">
        <f>VLOOKUP(C138,'Crono Furui'!$C:$G,2,FALSE)</f>
        <v>0</v>
      </c>
      <c r="M138" s="90">
        <f>VLOOKUP(C138,'Crono Furui'!$C:$G,5,FALSE)</f>
        <v>46263.458333333336</v>
      </c>
      <c r="N138" s="111" t="str">
        <f t="shared" ref="N138:N186" si="16">IF(M138&gt;H138=FALSE,"ATENDE",ROUNDUP(M138-H138,0))</f>
        <v>ATENDE</v>
      </c>
      <c r="O138" s="134">
        <f t="shared" si="15"/>
        <v>0</v>
      </c>
      <c r="P138" s="138"/>
    </row>
    <row r="139" spans="1:16" s="11" customFormat="1" x14ac:dyDescent="0.35">
      <c r="A139" s="7">
        <v>131</v>
      </c>
      <c r="B139" s="7" t="inlineStr">
        <is>
          <t>6"-D3B-NG-2001</t>
        </is>
      </c>
      <c r="C139" s="13" t="s">
        <v>131</v>
      </c>
      <c r="D139" s="8" t="s">
        <v>203</v>
      </c>
      <c r="E139" s="9" t="s">
        <v>190</v>
      </c>
      <c r="F139" s="20">
        <v>249.4256</v>
      </c>
      <c r="G139" s="23">
        <v>5</v>
      </c>
      <c r="H139" s="10">
        <f t="shared" si="13"/>
        <v>46280.75</v>
      </c>
      <c r="I139" s="93" t="str">
        <f t="shared" si="14"/>
        <v>3º</v>
      </c>
      <c r="J139" s="141"/>
      <c r="K139" s="94" t="str">
        <f>IF(VLOOKUP(C139,'Crono Furui'!$C$2:$C$189,1,FALSE)="","VERIFICAR","OK")</f>
        <v>OK</v>
      </c>
      <c r="L139" s="91">
        <f>VLOOKUP(C139,'Crono Furui'!$C:$G,2,FALSE)</f>
        <v>0</v>
      </c>
      <c r="M139" s="90">
        <f>VLOOKUP(C139,'Crono Furui'!$C:$G,5,FALSE)</f>
        <v>46277.625</v>
      </c>
      <c r="N139" s="111" t="str">
        <f t="shared" si="16"/>
        <v>ATENDE</v>
      </c>
      <c r="O139" s="134">
        <f t="shared" si="15"/>
        <v>0</v>
      </c>
      <c r="P139" s="138"/>
    </row>
    <row r="140" spans="1:16" s="11" customFormat="1" x14ac:dyDescent="0.35">
      <c r="A140" s="7">
        <v>132</v>
      </c>
      <c r="B140" s="7" t="inlineStr">
        <is>
          <t>1.1/2"-A1E-IA-9003</t>
        </is>
      </c>
      <c r="C140" s="13" t="s">
        <v>132</v>
      </c>
      <c r="D140" s="8" t="s">
        <v>207</v>
      </c>
      <c r="E140" s="9" t="s">
        <v>190</v>
      </c>
      <c r="F140" s="20">
        <v>18</v>
      </c>
      <c r="G140" s="23">
        <v>16</v>
      </c>
      <c r="H140" s="10">
        <f t="shared" si="13"/>
        <v>46280.75</v>
      </c>
      <c r="I140" s="93" t="str">
        <f t="shared" si="14"/>
        <v>3º</v>
      </c>
      <c r="J140" s="141"/>
      <c r="K140" s="94" t="str">
        <f>IF(VLOOKUP(C140,'Crono Furui'!$C$2:$C$189,1,FALSE)="","VERIFICAR","OK")</f>
        <v>OK</v>
      </c>
      <c r="L140" s="91">
        <f>VLOOKUP(C140,'Crono Furui'!$C:$G,2,FALSE)</f>
        <v>0</v>
      </c>
      <c r="M140" s="90">
        <f>VLOOKUP(C140,'Crono Furui'!$C:$G,5,FALSE)</f>
        <v>46277.625</v>
      </c>
      <c r="N140" s="111" t="str">
        <f t="shared" si="16"/>
        <v>ATENDE</v>
      </c>
      <c r="O140" s="134">
        <f t="shared" si="15"/>
        <v>0</v>
      </c>
      <c r="P140" s="138"/>
    </row>
    <row r="141" spans="1:16" s="11" customFormat="1" x14ac:dyDescent="0.35">
      <c r="A141" s="7">
        <v>133</v>
      </c>
      <c r="B141" s="7" t="inlineStr">
        <is>
          <t>1.1/2"-A1E-IA-9002</t>
        </is>
      </c>
      <c r="C141" s="13" t="s">
        <v>133</v>
      </c>
      <c r="D141" s="8" t="s">
        <v>203</v>
      </c>
      <c r="E141" s="9" t="s">
        <v>190</v>
      </c>
      <c r="F141" s="20">
        <v>18</v>
      </c>
      <c r="G141" s="23">
        <v>14</v>
      </c>
      <c r="H141" s="10">
        <f t="shared" si="13"/>
        <v>46280.75</v>
      </c>
      <c r="I141" s="93" t="str">
        <f t="shared" si="14"/>
        <v>3º</v>
      </c>
      <c r="J141" s="141"/>
      <c r="K141" s="94" t="str">
        <f>IF(VLOOKUP(C141,'Crono Furui'!$C$2:$C$189,1,FALSE)="","VERIFICAR","OK")</f>
        <v>OK</v>
      </c>
      <c r="L141" s="91">
        <f>VLOOKUP(C141,'Crono Furui'!$C:$G,2,FALSE)</f>
        <v>0</v>
      </c>
      <c r="M141" s="90">
        <f>VLOOKUP(C141,'Crono Furui'!$C:$G,5,FALSE)</f>
        <v>46277.625</v>
      </c>
      <c r="N141" s="111" t="str">
        <f t="shared" si="16"/>
        <v>ATENDE</v>
      </c>
      <c r="O141" s="134">
        <f t="shared" si="15"/>
        <v>0</v>
      </c>
      <c r="P141" s="138"/>
    </row>
    <row r="142" spans="1:16" s="11" customFormat="1" x14ac:dyDescent="0.35">
      <c r="A142" s="7">
        <v>134</v>
      </c>
      <c r="B142" s="7" t="inlineStr">
        <is>
          <t>6"-B3B-MR-5407B</t>
        </is>
      </c>
      <c r="C142" s="13" t="s">
        <v>134</v>
      </c>
      <c r="D142" s="9" t="s">
        <v>208</v>
      </c>
      <c r="E142" s="9" t="s">
        <v>183</v>
      </c>
      <c r="F142" s="20">
        <v>192.27832999999998</v>
      </c>
      <c r="G142" s="23">
        <v>12</v>
      </c>
      <c r="H142" s="10">
        <f t="shared" si="13"/>
        <v>46265.75</v>
      </c>
      <c r="I142" s="93" t="str">
        <f t="shared" si="14"/>
        <v>2º</v>
      </c>
      <c r="J142" s="141">
        <v>46268</v>
      </c>
      <c r="K142" s="94" t="str">
        <f>IF(VLOOKUP(C142,'Crono Furui'!$C$2:$C$189,1,FALSE)="","VERIFICAR","OK")</f>
        <v>OK</v>
      </c>
      <c r="L142" s="91">
        <f>VLOOKUP(C142,'Crono Furui'!$C:$G,2,FALSE)</f>
        <v>0</v>
      </c>
      <c r="M142" s="90">
        <f>VLOOKUP(C142,'Crono Furui'!$C:$G,5,FALSE)</f>
        <v>46264.416666666664</v>
      </c>
      <c r="N142" s="111" t="str">
        <f t="shared" si="16"/>
        <v>ATENDE</v>
      </c>
      <c r="O142" s="134">
        <f t="shared" si="15"/>
        <v>0</v>
      </c>
      <c r="P142" s="138"/>
    </row>
    <row r="143" spans="1:16" s="11" customFormat="1" x14ac:dyDescent="0.35">
      <c r="A143" s="7">
        <v>135</v>
      </c>
      <c r="B143" s="7" t="inlineStr">
        <is>
          <t>6"-B3B-MR-5405B</t>
        </is>
      </c>
      <c r="C143" s="13" t="s">
        <v>135</v>
      </c>
      <c r="D143" s="9" t="s">
        <v>208</v>
      </c>
      <c r="E143" s="9" t="s">
        <v>183</v>
      </c>
      <c r="F143" s="20">
        <v>931.70402000000024</v>
      </c>
      <c r="G143" s="23">
        <v>34</v>
      </c>
      <c r="H143" s="10">
        <f t="shared" si="13"/>
        <v>46265.75</v>
      </c>
      <c r="I143" s="93" t="str">
        <f t="shared" si="14"/>
        <v>2º</v>
      </c>
      <c r="J143" s="141">
        <v>46268</v>
      </c>
      <c r="K143" s="94" t="str">
        <f>IF(VLOOKUP(C143,'Crono Furui'!$C$2:$C$189,1,FALSE)="","VERIFICAR","OK")</f>
        <v>OK</v>
      </c>
      <c r="L143" s="91">
        <f>VLOOKUP(C143,'Crono Furui'!$C:$G,2,FALSE)</f>
        <v>0</v>
      </c>
      <c r="M143" s="90">
        <f>VLOOKUP(C143,'Crono Furui'!$C:$G,5,FALSE)</f>
        <v>46264.416666666664</v>
      </c>
      <c r="N143" s="111" t="str">
        <f t="shared" si="16"/>
        <v>ATENDE</v>
      </c>
      <c r="O143" s="134">
        <f t="shared" si="15"/>
        <v>0</v>
      </c>
      <c r="P143" s="138"/>
    </row>
    <row r="144" spans="1:16" s="11" customFormat="1" x14ac:dyDescent="0.35">
      <c r="A144" s="7">
        <v>136</v>
      </c>
      <c r="B144" s="7" t="inlineStr">
        <is>
          <t>V-713-TRIM-1</t>
        </is>
      </c>
      <c r="C144" s="13" t="s">
        <v>136</v>
      </c>
      <c r="D144" s="8" t="s">
        <v>189</v>
      </c>
      <c r="E144" s="9" t="s">
        <v>190</v>
      </c>
      <c r="F144" s="20">
        <v>6.4566000000000008</v>
      </c>
      <c r="G144" s="23">
        <v>12</v>
      </c>
      <c r="H144" s="10">
        <f t="shared" si="13"/>
        <v>46280.75</v>
      </c>
      <c r="I144" s="93" t="str">
        <f t="shared" si="14"/>
        <v>3º</v>
      </c>
      <c r="J144" s="141"/>
      <c r="K144" s="94" t="str">
        <f>IF(VLOOKUP(C144,'Crono Furui'!$C$2:$C$189,1,FALSE)="","VERIFICAR","OK")</f>
        <v>OK</v>
      </c>
      <c r="L144" s="91">
        <f>VLOOKUP(C144,'Crono Furui'!$C:$G,2,FALSE)</f>
        <v>0</v>
      </c>
      <c r="M144" s="90">
        <f>VLOOKUP(C144,'Crono Furui'!$C:$G,5,FALSE)</f>
        <v>46277.625</v>
      </c>
      <c r="N144" s="111" t="str">
        <f t="shared" si="16"/>
        <v>ATENDE</v>
      </c>
      <c r="O144" s="134">
        <f t="shared" si="15"/>
        <v>0</v>
      </c>
      <c r="P144" s="138"/>
    </row>
    <row r="145" spans="1:16" s="11" customFormat="1" x14ac:dyDescent="0.35">
      <c r="A145" s="7">
        <v>137</v>
      </c>
      <c r="B145" s="7" t="inlineStr">
        <is>
          <t>V-941-TRIM-1</t>
        </is>
      </c>
      <c r="C145" s="13" t="s">
        <v>137</v>
      </c>
      <c r="D145" s="8" t="s">
        <v>191</v>
      </c>
      <c r="E145" s="9" t="s">
        <v>185</v>
      </c>
      <c r="F145" s="20">
        <v>0.9</v>
      </c>
      <c r="G145" s="23">
        <v>1</v>
      </c>
      <c r="H145" s="10">
        <f t="shared" si="13"/>
        <v>46280.75</v>
      </c>
      <c r="I145" s="93" t="str">
        <f t="shared" si="14"/>
        <v>3º</v>
      </c>
      <c r="J145" s="141"/>
      <c r="K145" s="94" t="str">
        <f>IF(VLOOKUP(C145,'Crono Furui'!$C$2:$C$189,1,FALSE)="","VERIFICAR","OK")</f>
        <v>OK</v>
      </c>
      <c r="L145" s="91">
        <f>VLOOKUP(C145,'Crono Furui'!$C:$G,2,FALSE)</f>
        <v>0</v>
      </c>
      <c r="M145" s="90">
        <f>VLOOKUP(C145,'Crono Furui'!$C:$G,5,FALSE)</f>
        <v>46277.625</v>
      </c>
      <c r="N145" s="111" t="str">
        <f t="shared" si="16"/>
        <v>ATENDE</v>
      </c>
      <c r="O145" s="134">
        <f t="shared" si="15"/>
        <v>0</v>
      </c>
      <c r="P145" s="138"/>
    </row>
    <row r="146" spans="1:16" s="11" customFormat="1" x14ac:dyDescent="0.35">
      <c r="A146" s="7">
        <v>138</v>
      </c>
      <c r="B146" s="7" t="inlineStr">
        <is>
          <t>1.1/2"-A3B-HF-9502</t>
        </is>
      </c>
      <c r="C146" s="13" t="s">
        <v>138</v>
      </c>
      <c r="D146" s="8" t="s">
        <v>207</v>
      </c>
      <c r="E146" s="9" t="s">
        <v>190</v>
      </c>
      <c r="F146" s="20">
        <v>20</v>
      </c>
      <c r="G146" s="23">
        <v>13</v>
      </c>
      <c r="H146" s="10">
        <f t="shared" si="13"/>
        <v>46280.75</v>
      </c>
      <c r="I146" s="93" t="str">
        <f t="shared" si="14"/>
        <v>3º</v>
      </c>
      <c r="J146" s="141"/>
      <c r="K146" s="94" t="str">
        <f>IF(VLOOKUP(C146,'Crono Furui'!$C$2:$C$189,1,FALSE)="","VERIFICAR","OK")</f>
        <v>OK</v>
      </c>
      <c r="L146" s="91">
        <f>VLOOKUP(C146,'Crono Furui'!$C:$G,2,FALSE)</f>
        <v>0</v>
      </c>
      <c r="M146" s="90">
        <f>VLOOKUP(C146,'Crono Furui'!$C:$G,5,FALSE)</f>
        <v>46277.625</v>
      </c>
      <c r="N146" s="111" t="str">
        <f t="shared" si="16"/>
        <v>ATENDE</v>
      </c>
      <c r="O146" s="134">
        <f t="shared" si="15"/>
        <v>0</v>
      </c>
      <c r="P146" s="138"/>
    </row>
    <row r="147" spans="1:16" s="11" customFormat="1" x14ac:dyDescent="0.35">
      <c r="A147" s="7">
        <v>139</v>
      </c>
      <c r="B147" s="7" t="inlineStr">
        <is>
          <t>1.1/2"-A1E-IA-9001</t>
        </is>
      </c>
      <c r="C147" s="13" t="s">
        <v>139</v>
      </c>
      <c r="D147" s="8" t="s">
        <v>210</v>
      </c>
      <c r="E147" s="9" t="s">
        <v>190</v>
      </c>
      <c r="F147" s="20">
        <v>18</v>
      </c>
      <c r="G147" s="23">
        <v>13</v>
      </c>
      <c r="H147" s="10">
        <f t="shared" si="13"/>
        <v>46280.75</v>
      </c>
      <c r="I147" s="93" t="str">
        <f t="shared" si="14"/>
        <v>3º</v>
      </c>
      <c r="J147" s="141"/>
      <c r="K147" s="94" t="str">
        <f>IF(VLOOKUP(C147,'Crono Furui'!$C$2:$C$189,1,FALSE)="","VERIFICAR","OK")</f>
        <v>OK</v>
      </c>
      <c r="L147" s="91">
        <f>VLOOKUP(C147,'Crono Furui'!$C:$G,2,FALSE)</f>
        <v>0</v>
      </c>
      <c r="M147" s="90">
        <f>VLOOKUP(C147,'Crono Furui'!$C:$G,5,FALSE)</f>
        <v>46278.583333333336</v>
      </c>
      <c r="N147" s="111" t="str">
        <f t="shared" si="16"/>
        <v>ATENDE</v>
      </c>
      <c r="O147" s="134">
        <f t="shared" si="15"/>
        <v>0</v>
      </c>
      <c r="P147" s="138"/>
    </row>
    <row r="148" spans="1:16" s="11" customFormat="1" x14ac:dyDescent="0.35">
      <c r="A148" s="7">
        <v>140</v>
      </c>
      <c r="B148" s="7" t="inlineStr">
        <is>
          <t>10"-B3B-LO-5103B</t>
        </is>
      </c>
      <c r="C148" s="13" t="s">
        <v>140</v>
      </c>
      <c r="D148" s="8" t="s">
        <v>192</v>
      </c>
      <c r="E148" s="9" t="s">
        <v>183</v>
      </c>
      <c r="F148" s="20">
        <v>786.64776000000018</v>
      </c>
      <c r="G148" s="23">
        <v>17</v>
      </c>
      <c r="H148" s="10">
        <f t="shared" si="13"/>
        <v>46265.75</v>
      </c>
      <c r="I148" s="93" t="str">
        <f t="shared" si="14"/>
        <v>2º</v>
      </c>
      <c r="J148" s="141"/>
      <c r="K148" s="94" t="str">
        <f>IF(VLOOKUP(C148,'Crono Furui'!$C$2:$C$189,1,FALSE)="","VERIFICAR","OK")</f>
        <v>OK</v>
      </c>
      <c r="L148" s="91">
        <f>VLOOKUP(C148,'Crono Furui'!$C:$G,2,FALSE)</f>
        <v>0</v>
      </c>
      <c r="M148" s="90">
        <f>VLOOKUP(C148,'Crono Furui'!$C:$G,5,FALSE)</f>
        <v>46264.416666666664</v>
      </c>
      <c r="N148" s="111" t="str">
        <f t="shared" si="16"/>
        <v>ATENDE</v>
      </c>
      <c r="O148" s="134">
        <f t="shared" si="15"/>
        <v>0</v>
      </c>
      <c r="P148" s="138"/>
    </row>
    <row r="149" spans="1:16" s="11" customFormat="1" x14ac:dyDescent="0.35">
      <c r="A149" s="7">
        <v>141</v>
      </c>
      <c r="B149" s="7" t="inlineStr">
        <is>
          <t>10"-B3B-MR-5201B</t>
        </is>
      </c>
      <c r="C149" s="13" t="s">
        <v>141</v>
      </c>
      <c r="D149" s="8" t="s">
        <v>192</v>
      </c>
      <c r="E149" s="9" t="s">
        <v>183</v>
      </c>
      <c r="F149" s="20">
        <v>947.27656000000013</v>
      </c>
      <c r="G149" s="23">
        <v>30</v>
      </c>
      <c r="H149" s="10">
        <f t="shared" si="13"/>
        <v>46265.75</v>
      </c>
      <c r="I149" s="93" t="str">
        <f t="shared" si="14"/>
        <v>2º</v>
      </c>
      <c r="J149" s="141"/>
      <c r="K149" s="94" t="str">
        <f>IF(VLOOKUP(C149,'Crono Furui'!$C$2:$C$189,1,FALSE)="","VERIFICAR","OK")</f>
        <v>OK</v>
      </c>
      <c r="L149" s="91">
        <f>VLOOKUP(C149,'Crono Furui'!$C:$G,2,FALSE)</f>
        <v>0</v>
      </c>
      <c r="M149" s="90">
        <f>VLOOKUP(C149,'Crono Furui'!$C:$G,5,FALSE)</f>
        <v>46264.416666666664</v>
      </c>
      <c r="N149" s="111" t="str">
        <f t="shared" si="16"/>
        <v>ATENDE</v>
      </c>
      <c r="O149" s="134">
        <f t="shared" si="15"/>
        <v>0</v>
      </c>
      <c r="P149" s="138"/>
    </row>
    <row r="150" spans="1:16" s="11" customFormat="1" x14ac:dyDescent="0.35">
      <c r="A150" s="7">
        <v>142</v>
      </c>
      <c r="B150" s="7" t="inlineStr">
        <is>
          <t>10"-B3B-LO-5103A</t>
        </is>
      </c>
      <c r="C150" s="13" t="s">
        <v>142</v>
      </c>
      <c r="D150" s="8" t="s">
        <v>187</v>
      </c>
      <c r="E150" s="9" t="s">
        <v>183</v>
      </c>
      <c r="F150" s="20">
        <v>654.99536000000012</v>
      </c>
      <c r="G150" s="23">
        <v>16</v>
      </c>
      <c r="H150" s="10">
        <f t="shared" si="13"/>
        <v>46265.75</v>
      </c>
      <c r="I150" s="93" t="str">
        <f t="shared" si="14"/>
        <v>2º</v>
      </c>
      <c r="J150" s="141"/>
      <c r="K150" s="94" t="str">
        <f>IF(VLOOKUP(C150,'Crono Furui'!$C$2:$C$189,1,FALSE)="","VERIFICAR","OK")</f>
        <v>OK</v>
      </c>
      <c r="L150" s="91">
        <f>VLOOKUP(C150,'Crono Furui'!$C:$G,2,FALSE)</f>
        <v>0</v>
      </c>
      <c r="M150" s="90">
        <f>VLOOKUP(C150,'Crono Furui'!$C:$G,5,FALSE)</f>
        <v>46264.416666666664</v>
      </c>
      <c r="N150" s="111" t="str">
        <f t="shared" si="16"/>
        <v>ATENDE</v>
      </c>
      <c r="O150" s="134">
        <f t="shared" si="15"/>
        <v>0</v>
      </c>
      <c r="P150" s="138"/>
    </row>
    <row r="151" spans="1:16" s="11" customFormat="1" x14ac:dyDescent="0.35">
      <c r="A151" s="7">
        <v>143</v>
      </c>
      <c r="B151" s="7" t="inlineStr">
        <is>
          <t>6"-B3B-MR-5407A</t>
        </is>
      </c>
      <c r="C151" s="13" t="s">
        <v>143</v>
      </c>
      <c r="D151" s="8" t="s">
        <v>208</v>
      </c>
      <c r="E151" s="9" t="s">
        <v>183</v>
      </c>
      <c r="F151" s="20">
        <v>419.67181999999997</v>
      </c>
      <c r="G151" s="23">
        <v>22</v>
      </c>
      <c r="H151" s="10">
        <f t="shared" si="13"/>
        <v>46265.75</v>
      </c>
      <c r="I151" s="93" t="str">
        <f t="shared" si="14"/>
        <v>2º</v>
      </c>
      <c r="J151" s="141">
        <v>46268</v>
      </c>
      <c r="K151" s="94" t="str">
        <f>IF(VLOOKUP(C151,'Crono Furui'!$C$2:$C$189,1,FALSE)="","VERIFICAR","OK")</f>
        <v>OK</v>
      </c>
      <c r="L151" s="91">
        <f>VLOOKUP(C151,'Crono Furui'!$C:$G,2,FALSE)</f>
        <v>0</v>
      </c>
      <c r="M151" s="90">
        <f>VLOOKUP(C151,'Crono Furui'!$C:$G,5,FALSE)</f>
        <v>46265.375</v>
      </c>
      <c r="N151" s="111" t="str">
        <f t="shared" si="16"/>
        <v>ATENDE</v>
      </c>
      <c r="O151" s="134">
        <f t="shared" si="15"/>
        <v>0</v>
      </c>
      <c r="P151" s="138"/>
    </row>
    <row r="152" spans="1:16" s="11" customFormat="1" x14ac:dyDescent="0.35">
      <c r="A152" s="7">
        <v>144</v>
      </c>
      <c r="B152" s="7" t="inlineStr">
        <is>
          <t>6"-B3B-MR-5405A</t>
        </is>
      </c>
      <c r="C152" s="13" t="s">
        <v>144</v>
      </c>
      <c r="D152" s="8" t="s">
        <v>193</v>
      </c>
      <c r="E152" s="9" t="s">
        <v>183</v>
      </c>
      <c r="F152" s="20">
        <v>605.64686999999981</v>
      </c>
      <c r="G152" s="23">
        <v>32</v>
      </c>
      <c r="H152" s="10">
        <f t="shared" si="13"/>
        <v>46265.75</v>
      </c>
      <c r="I152" s="93" t="str">
        <f t="shared" si="14"/>
        <v>2º</v>
      </c>
      <c r="J152" s="141">
        <v>46268</v>
      </c>
      <c r="K152" s="94" t="str">
        <f>IF(VLOOKUP(C152,'Crono Furui'!$C$2:$C$189,1,FALSE)="","VERIFICAR","OK")</f>
        <v>OK</v>
      </c>
      <c r="L152" s="91">
        <f>VLOOKUP(C152,'Crono Furui'!$C:$G,2,FALSE)</f>
        <v>0</v>
      </c>
      <c r="M152" s="90">
        <f>VLOOKUP(C152,'Crono Furui'!$C:$G,5,FALSE)</f>
        <v>46265.375</v>
      </c>
      <c r="N152" s="111" t="str">
        <f t="shared" si="16"/>
        <v>ATENDE</v>
      </c>
      <c r="O152" s="134">
        <f t="shared" si="15"/>
        <v>0</v>
      </c>
      <c r="P152" s="138"/>
    </row>
    <row r="153" spans="1:16" s="11" customFormat="1" x14ac:dyDescent="0.35">
      <c r="A153" s="7">
        <v>145</v>
      </c>
      <c r="B153" s="7" t="inlineStr">
        <is>
          <t>6"-A3B-HF-7301</t>
        </is>
      </c>
      <c r="C153" s="13" t="s">
        <v>145</v>
      </c>
      <c r="D153" s="9" t="s">
        <v>189</v>
      </c>
      <c r="E153" s="9" t="s">
        <v>190</v>
      </c>
      <c r="F153" s="20">
        <v>763.58257000000015</v>
      </c>
      <c r="G153" s="23">
        <v>22</v>
      </c>
      <c r="H153" s="10">
        <f t="shared" si="13"/>
        <v>46280.75</v>
      </c>
      <c r="I153" s="93" t="str">
        <f t="shared" si="14"/>
        <v>3º</v>
      </c>
      <c r="J153" s="141"/>
      <c r="K153" s="94" t="str">
        <f>IF(VLOOKUP(C153,'Crono Furui'!$C$2:$C$189,1,FALSE)="","VERIFICAR","OK")</f>
        <v>OK</v>
      </c>
      <c r="L153" s="91">
        <f>VLOOKUP(C153,'Crono Furui'!$C:$G,2,FALSE)</f>
        <v>0</v>
      </c>
      <c r="M153" s="90">
        <f>VLOOKUP(C153,'Crono Furui'!$C:$G,5,FALSE)</f>
        <v>46279.5</v>
      </c>
      <c r="N153" s="111" t="str">
        <f t="shared" si="16"/>
        <v>ATENDE</v>
      </c>
      <c r="O153" s="134">
        <f t="shared" si="15"/>
        <v>0</v>
      </c>
      <c r="P153" s="138"/>
    </row>
    <row r="154" spans="1:16" s="11" customFormat="1" x14ac:dyDescent="0.35">
      <c r="A154" s="7">
        <v>146</v>
      </c>
      <c r="B154" s="7" t="inlineStr">
        <is>
          <t>8"-B3B-NG-0304</t>
        </is>
      </c>
      <c r="C154" s="13" t="s">
        <v>146</v>
      </c>
      <c r="D154" s="9" t="s">
        <v>210</v>
      </c>
      <c r="E154" s="9" t="s">
        <v>190</v>
      </c>
      <c r="F154" s="20">
        <v>30.4</v>
      </c>
      <c r="G154" s="23">
        <v>1</v>
      </c>
      <c r="H154" s="10">
        <f t="shared" si="13"/>
        <v>46280.75</v>
      </c>
      <c r="I154" s="93" t="str">
        <f t="shared" si="14"/>
        <v>3º</v>
      </c>
      <c r="J154" s="141"/>
      <c r="K154" s="94" t="str">
        <f>IF(VLOOKUP(C154,'Crono Furui'!$C$2:$C$189,1,FALSE)="","VERIFICAR","OK")</f>
        <v>OK</v>
      </c>
      <c r="L154" s="91">
        <f>VLOOKUP(C154,'Crono Furui'!$C:$G,2,FALSE)</f>
        <v>0</v>
      </c>
      <c r="M154" s="90">
        <f>VLOOKUP(C154,'Crono Furui'!$C:$G,5,FALSE)</f>
        <v>46279.5</v>
      </c>
      <c r="N154" s="111" t="str">
        <f t="shared" si="16"/>
        <v>ATENDE</v>
      </c>
      <c r="O154" s="134">
        <f t="shared" si="15"/>
        <v>0</v>
      </c>
      <c r="P154" s="138"/>
    </row>
    <row r="155" spans="1:16" s="11" customFormat="1" x14ac:dyDescent="0.35">
      <c r="A155" s="7">
        <v>147</v>
      </c>
      <c r="B155" s="7" t="inlineStr">
        <is>
          <t>8"-B3B-NG-0301</t>
        </is>
      </c>
      <c r="C155" s="13" t="s">
        <v>147</v>
      </c>
      <c r="D155" s="9" t="s">
        <v>210</v>
      </c>
      <c r="E155" s="9" t="s">
        <v>190</v>
      </c>
      <c r="F155" s="20">
        <v>30.4</v>
      </c>
      <c r="G155" s="23">
        <v>1</v>
      </c>
      <c r="H155" s="10">
        <f t="shared" si="13"/>
        <v>46280.75</v>
      </c>
      <c r="I155" s="93" t="str">
        <f t="shared" si="14"/>
        <v>3º</v>
      </c>
      <c r="J155" s="141"/>
      <c r="K155" s="94" t="str">
        <f>IF(VLOOKUP(C155,'Crono Furui'!$C$2:$C$189,1,FALSE)="","VERIFICAR","OK")</f>
        <v>OK</v>
      </c>
      <c r="L155" s="91">
        <f>VLOOKUP(C155,'Crono Furui'!$C:$G,2,FALSE)</f>
        <v>0</v>
      </c>
      <c r="M155" s="90">
        <f>VLOOKUP(C155,'Crono Furui'!$C:$G,5,FALSE)</f>
        <v>46279.5</v>
      </c>
      <c r="N155" s="111" t="str">
        <f t="shared" si="16"/>
        <v>ATENDE</v>
      </c>
      <c r="O155" s="134">
        <f t="shared" si="15"/>
        <v>0</v>
      </c>
      <c r="P155" s="138"/>
    </row>
    <row r="156" spans="1:16" s="11" customFormat="1" x14ac:dyDescent="0.35">
      <c r="A156" s="7">
        <v>148</v>
      </c>
      <c r="B156" s="7" t="inlineStr">
        <is>
          <t>6"-D3B-NG-1003</t>
        </is>
      </c>
      <c r="C156" s="13" t="s">
        <v>148</v>
      </c>
      <c r="D156" s="9" t="s">
        <v>210</v>
      </c>
      <c r="E156" s="9" t="s">
        <v>190</v>
      </c>
      <c r="F156" s="20">
        <v>267.49639999999999</v>
      </c>
      <c r="G156" s="23">
        <v>11</v>
      </c>
      <c r="H156" s="10">
        <f t="shared" si="13"/>
        <v>46280.75</v>
      </c>
      <c r="I156" s="93" t="str">
        <f t="shared" si="14"/>
        <v>3º</v>
      </c>
      <c r="J156" s="141"/>
      <c r="K156" s="94" t="str">
        <f>IF(VLOOKUP(C156,'Crono Furui'!$C$2:$C$189,1,FALSE)="","VERIFICAR","OK")</f>
        <v>OK</v>
      </c>
      <c r="L156" s="91">
        <f>VLOOKUP(C156,'Crono Furui'!$C:$G,2,FALSE)</f>
        <v>0</v>
      </c>
      <c r="M156" s="90">
        <f>VLOOKUP(C156,'Crono Furui'!$C:$G,5,FALSE)</f>
        <v>46279.5</v>
      </c>
      <c r="N156" s="111" t="str">
        <f t="shared" si="16"/>
        <v>ATENDE</v>
      </c>
      <c r="O156" s="134">
        <f t="shared" si="15"/>
        <v>0</v>
      </c>
      <c r="P156" s="138"/>
    </row>
    <row r="157" spans="1:16" s="11" customFormat="1" x14ac:dyDescent="0.35">
      <c r="A157" s="7">
        <v>149</v>
      </c>
      <c r="B157" s="7" t="inlineStr">
        <is>
          <t>10"-B3B-LO-5103A</t>
        </is>
      </c>
      <c r="C157" s="13" t="s">
        <v>149</v>
      </c>
      <c r="D157" s="9" t="s">
        <v>192</v>
      </c>
      <c r="E157" s="9" t="s">
        <v>183</v>
      </c>
      <c r="F157" s="20">
        <v>24</v>
      </c>
      <c r="G157" s="23">
        <v>2</v>
      </c>
      <c r="H157" s="10">
        <f t="shared" si="13"/>
        <v>46265.75</v>
      </c>
      <c r="I157" s="93" t="str">
        <f t="shared" si="14"/>
        <v>2º</v>
      </c>
      <c r="J157" s="141">
        <v>46268</v>
      </c>
      <c r="K157" s="94" t="str">
        <f>IF(VLOOKUP(C157,'Crono Furui'!$C$2:$C$189,1,FALSE)="","VERIFICAR","OK")</f>
        <v>OK</v>
      </c>
      <c r="L157" s="91">
        <f>VLOOKUP(C157,'Crono Furui'!$C:$G,2,FALSE)</f>
        <v>0</v>
      </c>
      <c r="M157" s="90">
        <f>VLOOKUP(C157,'Crono Furui'!$C:$G,5,FALSE)</f>
        <v>46265.375</v>
      </c>
      <c r="N157" s="111" t="str">
        <f t="shared" si="16"/>
        <v>ATENDE</v>
      </c>
      <c r="O157" s="134">
        <f t="shared" si="15"/>
        <v>0</v>
      </c>
      <c r="P157" s="138"/>
    </row>
    <row r="158" spans="1:16" s="11" customFormat="1" x14ac:dyDescent="0.35">
      <c r="A158" s="7">
        <v>150</v>
      </c>
      <c r="B158" s="7" t="inlineStr">
        <is>
          <t>6"-D3B-NG-1003</t>
        </is>
      </c>
      <c r="C158" s="13" t="s">
        <v>150</v>
      </c>
      <c r="D158" s="9" t="s">
        <v>210</v>
      </c>
      <c r="E158" s="9" t="s">
        <v>190</v>
      </c>
      <c r="F158" s="20">
        <v>36.700000000000003</v>
      </c>
      <c r="G158" s="23">
        <v>1</v>
      </c>
      <c r="H158" s="10">
        <f t="shared" si="13"/>
        <v>46280.75</v>
      </c>
      <c r="I158" s="93" t="str">
        <f t="shared" si="14"/>
        <v>3º</v>
      </c>
      <c r="J158" s="141"/>
      <c r="K158" s="94" t="str">
        <f>IF(VLOOKUP(C158,'Crono Furui'!$C$2:$C$189,1,FALSE)="","VERIFICAR","OK")</f>
        <v>OK</v>
      </c>
      <c r="L158" s="91">
        <f>VLOOKUP(C158,'Crono Furui'!$C:$G,2,FALSE)</f>
        <v>0</v>
      </c>
      <c r="M158" s="90">
        <f>VLOOKUP(C158,'Crono Furui'!$C:$G,5,FALSE)</f>
        <v>46279.5</v>
      </c>
      <c r="N158" s="111" t="str">
        <f t="shared" si="16"/>
        <v>ATENDE</v>
      </c>
      <c r="O158" s="134">
        <f t="shared" si="15"/>
        <v>0</v>
      </c>
      <c r="P158" s="138"/>
    </row>
    <row r="159" spans="1:16" s="11" customFormat="1" x14ac:dyDescent="0.35">
      <c r="A159" s="7">
        <v>151</v>
      </c>
      <c r="B159" s="7" t="inlineStr">
        <is>
          <t>6"-A3B-HM-8202</t>
        </is>
      </c>
      <c r="C159" s="13" t="s">
        <v>151</v>
      </c>
      <c r="D159" s="9" t="s">
        <v>206</v>
      </c>
      <c r="E159" s="9" t="s">
        <v>185</v>
      </c>
      <c r="F159" s="20">
        <v>514.39632999999992</v>
      </c>
      <c r="G159" s="23">
        <v>8</v>
      </c>
      <c r="H159" s="10">
        <f t="shared" si="13"/>
        <v>46280.75</v>
      </c>
      <c r="I159" s="93" t="str">
        <f t="shared" si="14"/>
        <v>3º</v>
      </c>
      <c r="J159" s="141"/>
      <c r="K159" s="94" t="str">
        <f>IF(VLOOKUP(C159,'Crono Furui'!$C$2:$C$189,1,FALSE)="","VERIFICAR","OK")</f>
        <v>OK</v>
      </c>
      <c r="L159" s="91">
        <f>VLOOKUP(C159,'Crono Furui'!$C:$G,2,FALSE)</f>
        <v>0</v>
      </c>
      <c r="M159" s="90">
        <f>VLOOKUP(C159,'Crono Furui'!$C:$G,5,FALSE)</f>
        <v>46279.5</v>
      </c>
      <c r="N159" s="111" t="str">
        <f t="shared" si="16"/>
        <v>ATENDE</v>
      </c>
      <c r="O159" s="134">
        <f t="shared" si="15"/>
        <v>0</v>
      </c>
      <c r="P159" s="138"/>
    </row>
    <row r="160" spans="1:16" s="11" customFormat="1" x14ac:dyDescent="0.35">
      <c r="A160" s="7">
        <v>152</v>
      </c>
      <c r="B160" s="7" t="inlineStr">
        <is>
          <t>10"-B3B-LO-5103B</t>
        </is>
      </c>
      <c r="C160" s="13" t="s">
        <v>152</v>
      </c>
      <c r="D160" s="8" t="s">
        <v>192</v>
      </c>
      <c r="E160" s="9" t="s">
        <v>183</v>
      </c>
      <c r="F160" s="20">
        <v>24</v>
      </c>
      <c r="G160" s="23">
        <v>2</v>
      </c>
      <c r="H160" s="10">
        <f t="shared" si="13"/>
        <v>46265.75</v>
      </c>
      <c r="I160" s="93" t="str">
        <f t="shared" si="14"/>
        <v>2º</v>
      </c>
      <c r="J160" s="141"/>
      <c r="K160" s="94" t="str">
        <f>IF(VLOOKUP(C160,'Crono Furui'!$C$2:$C$189,1,FALSE)="","VERIFICAR","OK")</f>
        <v>OK</v>
      </c>
      <c r="L160" s="91">
        <f>VLOOKUP(C160,'Crono Furui'!$C:$G,2,FALSE)</f>
        <v>0</v>
      </c>
      <c r="M160" s="90">
        <f>VLOOKUP(C160,'Crono Furui'!$C:$G,5,FALSE)</f>
        <v>46265.375</v>
      </c>
      <c r="N160" s="111" t="str">
        <f t="shared" si="16"/>
        <v>ATENDE</v>
      </c>
      <c r="O160" s="134">
        <f t="shared" si="15"/>
        <v>0</v>
      </c>
      <c r="P160" s="138"/>
    </row>
    <row r="161" spans="1:16" s="11" customFormat="1" x14ac:dyDescent="0.35">
      <c r="A161" s="7">
        <v>153</v>
      </c>
      <c r="B161" s="7" t="inlineStr">
        <is>
          <t>8"-A3B-HF-3005</t>
        </is>
      </c>
      <c r="C161" s="13" t="s">
        <v>153</v>
      </c>
      <c r="D161" s="9" t="s">
        <v>215</v>
      </c>
      <c r="E161" s="9" t="s">
        <v>190</v>
      </c>
      <c r="F161" s="20">
        <v>17.7</v>
      </c>
      <c r="G161" s="23">
        <v>1</v>
      </c>
      <c r="H161" s="10">
        <f t="shared" si="13"/>
        <v>46280.75</v>
      </c>
      <c r="I161" s="93" t="str">
        <f t="shared" si="14"/>
        <v>3º</v>
      </c>
      <c r="J161" s="141"/>
      <c r="K161" s="94" t="str">
        <f>IF(VLOOKUP(C161,'Crono Furui'!$C$2:$C$189,1,FALSE)="","VERIFICAR","OK")</f>
        <v>OK</v>
      </c>
      <c r="L161" s="91">
        <f>VLOOKUP(C161,'Crono Furui'!$C:$G,2,FALSE)</f>
        <v>0</v>
      </c>
      <c r="M161" s="90">
        <f>VLOOKUP(C161,'Crono Furui'!$C:$G,5,FALSE)</f>
        <v>46279.5</v>
      </c>
      <c r="N161" s="111" t="str">
        <f t="shared" si="16"/>
        <v>ATENDE</v>
      </c>
      <c r="O161" s="134">
        <f t="shared" si="15"/>
        <v>0</v>
      </c>
      <c r="P161" s="138"/>
    </row>
    <row r="162" spans="1:16" s="11" customFormat="1" x14ac:dyDescent="0.35">
      <c r="A162" s="7">
        <v>154</v>
      </c>
      <c r="B162" s="7" t="inlineStr">
        <is>
          <t>6"-A3B-HM-2205</t>
        </is>
      </c>
      <c r="C162" s="13" t="s">
        <v>154</v>
      </c>
      <c r="D162" s="9" t="s">
        <v>206</v>
      </c>
      <c r="E162" s="9" t="s">
        <v>185</v>
      </c>
      <c r="F162" s="20">
        <v>490.93471999999997</v>
      </c>
      <c r="G162" s="23">
        <v>8</v>
      </c>
      <c r="H162" s="10">
        <f t="shared" si="13"/>
        <v>46280.75</v>
      </c>
      <c r="I162" s="93" t="str">
        <f t="shared" si="14"/>
        <v>3º</v>
      </c>
      <c r="J162" s="141"/>
      <c r="K162" s="94" t="str">
        <f>IF(VLOOKUP(C162,'Crono Furui'!$C$2:$C$189,1,FALSE)="","VERIFICAR","OK")</f>
        <v>OK</v>
      </c>
      <c r="L162" s="91">
        <f>VLOOKUP(C162,'Crono Furui'!$C:$G,2,FALSE)</f>
        <v>0</v>
      </c>
      <c r="M162" s="90">
        <f>VLOOKUP(C162,'Crono Furui'!$C:$G,5,FALSE)</f>
        <v>46279.5</v>
      </c>
      <c r="N162" s="111" t="str">
        <f t="shared" si="16"/>
        <v>ATENDE</v>
      </c>
      <c r="O162" s="134">
        <f t="shared" si="15"/>
        <v>0</v>
      </c>
      <c r="P162" s="138"/>
    </row>
    <row r="163" spans="1:16" s="11" customFormat="1" x14ac:dyDescent="0.35">
      <c r="A163" s="7">
        <v>155</v>
      </c>
      <c r="B163" s="7" t="inlineStr">
        <is>
          <t>2"-A1E-IA-9011</t>
        </is>
      </c>
      <c r="C163" s="13" t="s">
        <v>155</v>
      </c>
      <c r="D163" s="8" t="s">
        <v>188</v>
      </c>
      <c r="E163" s="9" t="s">
        <v>183</v>
      </c>
      <c r="F163" s="20">
        <v>51.959199999999989</v>
      </c>
      <c r="G163" s="23">
        <v>29</v>
      </c>
      <c r="H163" s="10">
        <f t="shared" si="13"/>
        <v>46251.75</v>
      </c>
      <c r="I163" s="93" t="str">
        <f t="shared" si="14"/>
        <v>1º</v>
      </c>
      <c r="J163" s="141">
        <v>46262</v>
      </c>
      <c r="K163" s="94" t="str">
        <f>IF(VLOOKUP(C163,'Crono Furui'!$C$2:$C$189,1,FALSE)="","VERIFICAR","OK")</f>
        <v>OK</v>
      </c>
      <c r="L163" s="91">
        <f>VLOOKUP(C163,'Crono Furui'!$C:$G,2,FALSE)</f>
        <v>0</v>
      </c>
      <c r="M163" s="90">
        <f>VLOOKUP(C163,'Crono Furui'!$C:$G,5,FALSE)</f>
        <v>46257.625</v>
      </c>
      <c r="N163" s="112">
        <f t="shared" si="16"/>
        <v>6</v>
      </c>
      <c r="O163" s="134">
        <f t="shared" si="15"/>
        <v>0</v>
      </c>
      <c r="P163" s="138"/>
    </row>
    <row r="164" spans="1:16" s="11" customFormat="1" x14ac:dyDescent="0.35">
      <c r="A164" s="7">
        <v>156</v>
      </c>
      <c r="B164" s="7" t="inlineStr">
        <is>
          <t>1"-A3B-HF-9505</t>
        </is>
      </c>
      <c r="C164" s="13" t="s">
        <v>156</v>
      </c>
      <c r="D164" s="8" t="s">
        <v>207</v>
      </c>
      <c r="E164" s="9" t="s">
        <v>190</v>
      </c>
      <c r="F164" s="20">
        <v>26.528400000000001</v>
      </c>
      <c r="G164" s="23">
        <v>21</v>
      </c>
      <c r="H164" s="10">
        <f t="shared" si="13"/>
        <v>46280.75</v>
      </c>
      <c r="I164" s="93" t="str">
        <f t="shared" si="14"/>
        <v>3º</v>
      </c>
      <c r="J164" s="141"/>
      <c r="K164" s="94" t="str">
        <f>IF(VLOOKUP(C164,'Crono Furui'!$C$2:$C$189,1,FALSE)="","VERIFICAR","OK")</f>
        <v>OK</v>
      </c>
      <c r="L164" s="91">
        <f>VLOOKUP(C164,'Crono Furui'!$C:$G,2,FALSE)</f>
        <v>0</v>
      </c>
      <c r="M164" s="90">
        <f>VLOOKUP(C164,'Crono Furui'!$C:$G,5,FALSE)</f>
        <v>46279.5</v>
      </c>
      <c r="N164" s="111" t="str">
        <f t="shared" si="16"/>
        <v>ATENDE</v>
      </c>
      <c r="O164" s="134">
        <f t="shared" si="15"/>
        <v>0</v>
      </c>
      <c r="P164" s="138"/>
    </row>
    <row r="165" spans="1:16" s="11" customFormat="1" x14ac:dyDescent="0.35">
      <c r="A165" s="7">
        <v>157</v>
      </c>
      <c r="B165" s="7" t="inlineStr">
        <is>
          <t>1"-A3B-HF-9504</t>
        </is>
      </c>
      <c r="C165" s="13" t="s">
        <v>157</v>
      </c>
      <c r="D165" s="8" t="s">
        <v>207</v>
      </c>
      <c r="E165" s="9" t="s">
        <v>190</v>
      </c>
      <c r="F165" s="20">
        <v>4.0644</v>
      </c>
      <c r="G165" s="23">
        <v>5</v>
      </c>
      <c r="H165" s="10">
        <f t="shared" si="13"/>
        <v>46280.75</v>
      </c>
      <c r="I165" s="93" t="str">
        <f t="shared" si="14"/>
        <v>3º</v>
      </c>
      <c r="J165" s="141"/>
      <c r="K165" s="94" t="str">
        <f>IF(VLOOKUP(C165,'Crono Furui'!$C$2:$C$189,1,FALSE)="","VERIFICAR","OK")</f>
        <v>OK</v>
      </c>
      <c r="L165" s="91">
        <f>VLOOKUP(C165,'Crono Furui'!$C:$G,2,FALSE)</f>
        <v>0</v>
      </c>
      <c r="M165" s="90">
        <f>VLOOKUP(C165,'Crono Furui'!$C:$G,5,FALSE)</f>
        <v>46279.5</v>
      </c>
      <c r="N165" s="111" t="str">
        <f t="shared" si="16"/>
        <v>ATENDE</v>
      </c>
      <c r="O165" s="134">
        <f t="shared" si="15"/>
        <v>0</v>
      </c>
      <c r="P165" s="138"/>
    </row>
    <row r="166" spans="1:16" s="11" customFormat="1" x14ac:dyDescent="0.35">
      <c r="A166" s="7">
        <v>158</v>
      </c>
      <c r="B166" s="7" t="inlineStr">
        <is>
          <t>1"-A1E-IA-9005</t>
        </is>
      </c>
      <c r="C166" s="13" t="s">
        <v>158</v>
      </c>
      <c r="D166" s="9" t="s">
        <v>187</v>
      </c>
      <c r="E166" s="9" t="s">
        <v>183</v>
      </c>
      <c r="F166" s="20">
        <v>7.9250000000000016</v>
      </c>
      <c r="G166" s="23">
        <v>6</v>
      </c>
      <c r="H166" s="10">
        <f t="shared" si="13"/>
        <v>46265.75</v>
      </c>
      <c r="I166" s="93" t="str">
        <f t="shared" si="14"/>
        <v>2º</v>
      </c>
      <c r="J166" s="141">
        <v>46268</v>
      </c>
      <c r="K166" s="94" t="str">
        <f>IF(VLOOKUP(C166,'Crono Furui'!$C$2:$C$189,1,FALSE)="","VERIFICAR","OK")</f>
        <v>OK</v>
      </c>
      <c r="L166" s="91">
        <f>VLOOKUP(C166,'Crono Furui'!$C:$G,2,FALSE)</f>
        <v>0</v>
      </c>
      <c r="M166" s="90">
        <f>VLOOKUP(C166,'Crono Furui'!$C:$G,5,FALSE)</f>
        <v>46266.333333333336</v>
      </c>
      <c r="N166" s="112">
        <f t="shared" si="16"/>
        <v>1</v>
      </c>
      <c r="O166" s="134">
        <f t="shared" si="15"/>
        <v>0</v>
      </c>
      <c r="P166" s="138"/>
    </row>
    <row r="167" spans="1:16" s="11" customFormat="1" x14ac:dyDescent="0.35">
      <c r="A167" s="7">
        <v>159</v>
      </c>
      <c r="B167" s="7" t="inlineStr">
        <is>
          <t>1"-A3B-WW-1003</t>
        </is>
      </c>
      <c r="C167" s="13" t="s">
        <v>159</v>
      </c>
      <c r="D167" s="9" t="s">
        <v>210</v>
      </c>
      <c r="E167" s="9" t="s">
        <v>190</v>
      </c>
      <c r="F167" s="20">
        <v>3.1968000000000005</v>
      </c>
      <c r="G167" s="23">
        <v>4</v>
      </c>
      <c r="H167" s="10">
        <f t="shared" si="13"/>
        <v>46280.75</v>
      </c>
      <c r="I167" s="93" t="str">
        <f t="shared" si="14"/>
        <v>3º</v>
      </c>
      <c r="J167" s="141"/>
      <c r="K167" s="94" t="str">
        <f>IF(VLOOKUP(C167,'Crono Furui'!$C$2:$C$189,1,FALSE)="","VERIFICAR","OK")</f>
        <v>OK</v>
      </c>
      <c r="L167" s="91">
        <f>VLOOKUP(C167,'Crono Furui'!$C:$G,2,FALSE)</f>
        <v>0</v>
      </c>
      <c r="M167" s="90">
        <f>VLOOKUP(C167,'Crono Furui'!$C:$G,5,FALSE)</f>
        <v>46279.5</v>
      </c>
      <c r="N167" s="111" t="str">
        <f t="shared" si="16"/>
        <v>ATENDE</v>
      </c>
      <c r="O167" s="134">
        <f t="shared" si="15"/>
        <v>0</v>
      </c>
      <c r="P167" s="138"/>
    </row>
    <row r="168" spans="1:16" s="11" customFormat="1" x14ac:dyDescent="0.35">
      <c r="A168" s="7">
        <v>160</v>
      </c>
      <c r="B168" s="7" t="inlineStr">
        <is>
          <t>1"-A1E-IA-9007</t>
        </is>
      </c>
      <c r="C168" s="13" t="s">
        <v>160</v>
      </c>
      <c r="D168" s="9" t="s">
        <v>193</v>
      </c>
      <c r="E168" s="9" t="s">
        <v>183</v>
      </c>
      <c r="F168" s="20">
        <v>9.125</v>
      </c>
      <c r="G168" s="23">
        <v>8</v>
      </c>
      <c r="H168" s="10">
        <f t="shared" si="13"/>
        <v>46265.75</v>
      </c>
      <c r="I168" s="93" t="str">
        <f t="shared" si="14"/>
        <v>2º</v>
      </c>
      <c r="J168" s="141">
        <v>46268</v>
      </c>
      <c r="K168" s="94" t="str">
        <f>IF(VLOOKUP(C168,'Crono Furui'!$C$2:$C$189,1,FALSE)="","VERIFICAR","OK")</f>
        <v>OK</v>
      </c>
      <c r="L168" s="91">
        <f>VLOOKUP(C168,'Crono Furui'!$C:$G,2,FALSE)</f>
        <v>0</v>
      </c>
      <c r="M168" s="90">
        <f>VLOOKUP(C168,'Crono Furui'!$C:$G,5,FALSE)</f>
        <v>46266.333333333336</v>
      </c>
      <c r="N168" s="112">
        <f t="shared" si="16"/>
        <v>1</v>
      </c>
      <c r="O168" s="134">
        <f t="shared" si="15"/>
        <v>0</v>
      </c>
      <c r="P168" s="138"/>
    </row>
    <row r="169" spans="1:16" s="11" customFormat="1" x14ac:dyDescent="0.35">
      <c r="A169" s="7">
        <v>161</v>
      </c>
      <c r="B169" s="7" t="inlineStr">
        <is>
          <t>1"-B3B-MR-5212A</t>
        </is>
      </c>
      <c r="C169" s="13" t="s">
        <v>161</v>
      </c>
      <c r="D169" s="9" t="s">
        <v>187</v>
      </c>
      <c r="E169" s="9" t="s">
        <v>183</v>
      </c>
      <c r="F169" s="20">
        <v>2</v>
      </c>
      <c r="G169" s="23">
        <v>1</v>
      </c>
      <c r="H169" s="10">
        <f t="shared" ref="H169:H186" si="17">VLOOKUP(D169,$D$195:$F$231,3,FALSE)</f>
        <v>46265.75</v>
      </c>
      <c r="I169" s="93" t="str">
        <f t="shared" ref="I169:I186" si="18">VLOOKUP(H169,$H$197:$I$200,2,FALSE)</f>
        <v>2º</v>
      </c>
      <c r="J169" s="141"/>
      <c r="K169" s="94" t="str">
        <f>IF(VLOOKUP(C169,'Crono Furui'!$C$2:$C$189,1,FALSE)="","VERIFICAR","OK")</f>
        <v>OK</v>
      </c>
      <c r="L169" s="91">
        <f>VLOOKUP(C169,'Crono Furui'!$C:$G,2,FALSE)</f>
        <v>0</v>
      </c>
      <c r="M169" s="90">
        <f>VLOOKUP(C169,'Crono Furui'!$C:$G,5,FALSE)</f>
        <v>46266.333333333336</v>
      </c>
      <c r="N169" s="112">
        <f t="shared" si="16"/>
        <v>1</v>
      </c>
      <c r="O169" s="134">
        <f t="shared" si="15"/>
        <v>0</v>
      </c>
      <c r="P169" s="138"/>
    </row>
    <row r="170" spans="1:16" s="11" customFormat="1" x14ac:dyDescent="0.35">
      <c r="A170" s="7">
        <v>162</v>
      </c>
      <c r="B170" s="7" t="inlineStr">
        <is>
          <t>1"-A3B-WW-3005M</t>
        </is>
      </c>
      <c r="C170" s="13" t="s">
        <v>162</v>
      </c>
      <c r="D170" s="9" t="s">
        <v>215</v>
      </c>
      <c r="E170" s="9" t="s">
        <v>190</v>
      </c>
      <c r="F170" s="20">
        <v>3.1320000000000001</v>
      </c>
      <c r="G170" s="23">
        <v>4</v>
      </c>
      <c r="H170" s="10">
        <f t="shared" si="17"/>
        <v>46280.75</v>
      </c>
      <c r="I170" s="93" t="str">
        <f t="shared" si="18"/>
        <v>3º</v>
      </c>
      <c r="J170" s="141"/>
      <c r="K170" s="94" t="str">
        <f>IF(VLOOKUP(C170,'Crono Furui'!$C$2:$C$189,1,FALSE)="","VERIFICAR","OK")</f>
        <v>OK</v>
      </c>
      <c r="L170" s="91">
        <f>VLOOKUP(C170,'Crono Furui'!$C:$G,2,FALSE)</f>
        <v>0</v>
      </c>
      <c r="M170" s="90">
        <f>VLOOKUP(C170,'Crono Furui'!$C:$G,5,FALSE)</f>
        <v>46279.5</v>
      </c>
      <c r="N170" s="111" t="str">
        <f t="shared" si="16"/>
        <v>ATENDE</v>
      </c>
      <c r="O170" s="134">
        <f t="shared" si="15"/>
        <v>0</v>
      </c>
      <c r="P170" s="138"/>
    </row>
    <row r="171" spans="1:16" s="11" customFormat="1" x14ac:dyDescent="0.35">
      <c r="A171" s="7">
        <v>163</v>
      </c>
      <c r="B171" s="7" t="inlineStr">
        <is>
          <t>1"-A1E-IA-9006</t>
        </is>
      </c>
      <c r="C171" s="13" t="s">
        <v>163</v>
      </c>
      <c r="D171" s="9" t="s">
        <v>192</v>
      </c>
      <c r="E171" s="9" t="s">
        <v>183</v>
      </c>
      <c r="F171" s="20">
        <v>7.9</v>
      </c>
      <c r="G171" s="23">
        <v>6</v>
      </c>
      <c r="H171" s="10">
        <f t="shared" si="17"/>
        <v>46265.75</v>
      </c>
      <c r="I171" s="93" t="str">
        <f t="shared" si="18"/>
        <v>2º</v>
      </c>
      <c r="J171" s="141">
        <v>46268</v>
      </c>
      <c r="K171" s="94" t="str">
        <f>IF(VLOOKUP(C171,'Crono Furui'!$C$2:$C$189,1,FALSE)="","VERIFICAR","OK")</f>
        <v>OK</v>
      </c>
      <c r="L171" s="91">
        <f>VLOOKUP(C171,'Crono Furui'!$C:$G,2,FALSE)</f>
        <v>0</v>
      </c>
      <c r="M171" s="90">
        <f>VLOOKUP(C171,'Crono Furui'!$C:$G,5,FALSE)</f>
        <v>46266.333333333336</v>
      </c>
      <c r="N171" s="112">
        <f t="shared" si="16"/>
        <v>1</v>
      </c>
      <c r="O171" s="134">
        <f t="shared" si="15"/>
        <v>0</v>
      </c>
      <c r="P171" s="138"/>
    </row>
    <row r="172" spans="1:16" s="11" customFormat="1" x14ac:dyDescent="0.35">
      <c r="A172" s="7">
        <v>164</v>
      </c>
      <c r="B172" s="7" t="inlineStr">
        <is>
          <t>1"-A1E-IA-9008</t>
        </is>
      </c>
      <c r="C172" s="13" t="s">
        <v>164</v>
      </c>
      <c r="D172" s="9" t="s">
        <v>208</v>
      </c>
      <c r="E172" s="9" t="s">
        <v>183</v>
      </c>
      <c r="F172" s="20">
        <v>9.1</v>
      </c>
      <c r="G172" s="23">
        <v>8</v>
      </c>
      <c r="H172" s="10">
        <f t="shared" si="17"/>
        <v>46265.75</v>
      </c>
      <c r="I172" s="93" t="str">
        <f t="shared" si="18"/>
        <v>2º</v>
      </c>
      <c r="J172" s="141">
        <v>46268</v>
      </c>
      <c r="K172" s="94" t="str">
        <f>IF(VLOOKUP(C172,'Crono Furui'!$C$2:$C$189,1,FALSE)="","VERIFICAR","OK")</f>
        <v>OK</v>
      </c>
      <c r="L172" s="91">
        <f>VLOOKUP(C172,'Crono Furui'!$C:$G,2,FALSE)</f>
        <v>0</v>
      </c>
      <c r="M172" s="90">
        <f>VLOOKUP(C172,'Crono Furui'!$C:$G,5,FALSE)</f>
        <v>46267.666666666664</v>
      </c>
      <c r="N172" s="112">
        <f t="shared" si="16"/>
        <v>2</v>
      </c>
      <c r="O172" s="134">
        <f t="shared" si="15"/>
        <v>0</v>
      </c>
      <c r="P172" s="138"/>
    </row>
    <row r="173" spans="1:16" s="11" customFormat="1" x14ac:dyDescent="0.35">
      <c r="A173" s="7">
        <v>165</v>
      </c>
      <c r="B173" s="7" t="inlineStr">
        <is>
          <t>1"-B3B-MR-5211A</t>
        </is>
      </c>
      <c r="C173" s="13" t="s">
        <v>165</v>
      </c>
      <c r="D173" s="9" t="s">
        <v>187</v>
      </c>
      <c r="E173" s="9" t="s">
        <v>183</v>
      </c>
      <c r="F173" s="20">
        <v>1.4</v>
      </c>
      <c r="G173" s="23">
        <v>1</v>
      </c>
      <c r="H173" s="10">
        <f t="shared" si="17"/>
        <v>46265.75</v>
      </c>
      <c r="I173" s="93" t="str">
        <f t="shared" si="18"/>
        <v>2º</v>
      </c>
      <c r="J173" s="141"/>
      <c r="K173" s="94" t="str">
        <f>IF(VLOOKUP(C173,'Crono Furui'!$C$2:$C$189,1,FALSE)="","VERIFICAR","OK")</f>
        <v>OK</v>
      </c>
      <c r="L173" s="91">
        <f>VLOOKUP(C173,'Crono Furui'!$C:$G,2,FALSE)</f>
        <v>0</v>
      </c>
      <c r="M173" s="90">
        <f>VLOOKUP(C173,'Crono Furui'!$C:$G,5,FALSE)</f>
        <v>46267.666666666664</v>
      </c>
      <c r="N173" s="112">
        <f t="shared" si="16"/>
        <v>2</v>
      </c>
      <c r="O173" s="134">
        <f t="shared" si="15"/>
        <v>0</v>
      </c>
      <c r="P173" s="138"/>
    </row>
    <row r="174" spans="1:16" s="11" customFormat="1" x14ac:dyDescent="0.35">
      <c r="A174" s="7">
        <v>166</v>
      </c>
      <c r="B174" s="7" t="inlineStr">
        <is>
          <t>1"-A3B-WW-2003</t>
        </is>
      </c>
      <c r="C174" s="13" t="s">
        <v>166</v>
      </c>
      <c r="D174" s="9" t="s">
        <v>203</v>
      </c>
      <c r="E174" s="9" t="s">
        <v>190</v>
      </c>
      <c r="F174" s="20">
        <v>0.9</v>
      </c>
      <c r="G174" s="23">
        <v>1</v>
      </c>
      <c r="H174" s="10">
        <f t="shared" si="17"/>
        <v>46280.75</v>
      </c>
      <c r="I174" s="93" t="str">
        <f t="shared" si="18"/>
        <v>3º</v>
      </c>
      <c r="J174" s="141"/>
      <c r="K174" s="94" t="str">
        <f>IF(VLOOKUP(C174,'Crono Furui'!$C$2:$C$189,1,FALSE)="","VERIFICAR","OK")</f>
        <v>OK</v>
      </c>
      <c r="L174" s="91">
        <f>VLOOKUP(C174,'Crono Furui'!$C:$G,2,FALSE)</f>
        <v>0</v>
      </c>
      <c r="M174" s="90">
        <f>VLOOKUP(C174,'Crono Furui'!$C:$G,5,FALSE)</f>
        <v>46279.5</v>
      </c>
      <c r="N174" s="111" t="str">
        <f t="shared" si="16"/>
        <v>ATENDE</v>
      </c>
      <c r="O174" s="134">
        <f t="shared" si="15"/>
        <v>0</v>
      </c>
      <c r="P174" s="138"/>
    </row>
    <row r="175" spans="1:16" s="11" customFormat="1" x14ac:dyDescent="0.35">
      <c r="A175" s="7">
        <v>167</v>
      </c>
      <c r="B175" s="7" t="inlineStr">
        <is>
          <t>3"-A1E-BOG-7009</t>
        </is>
      </c>
      <c r="C175" s="13" t="s">
        <v>167</v>
      </c>
      <c r="D175" s="9" t="s">
        <v>201</v>
      </c>
      <c r="E175" s="9" t="s">
        <v>195</v>
      </c>
      <c r="F175" s="20">
        <v>61.019099999999995</v>
      </c>
      <c r="G175" s="23">
        <v>23</v>
      </c>
      <c r="H175" s="10">
        <f t="shared" si="17"/>
        <v>46287.75</v>
      </c>
      <c r="I175" s="93" t="str">
        <f t="shared" si="18"/>
        <v>4º</v>
      </c>
      <c r="J175" s="141"/>
      <c r="K175" s="94" t="str">
        <f>IF(VLOOKUP(C175,'Crono Furui'!$C$2:$C$189,1,FALSE)="","VERIFICAR","OK")</f>
        <v>OK</v>
      </c>
      <c r="L175" s="91">
        <f>VLOOKUP(C175,'Crono Furui'!$C:$G,2,FALSE)</f>
        <v>0</v>
      </c>
      <c r="M175" s="90">
        <f>VLOOKUP(C175,'Crono Furui'!$C:$G,5,FALSE)</f>
        <v>46280.666666666664</v>
      </c>
      <c r="N175" s="111" t="str">
        <f t="shared" si="16"/>
        <v>ATENDE</v>
      </c>
      <c r="O175" s="134">
        <f t="shared" si="15"/>
        <v>0</v>
      </c>
      <c r="P175" s="138"/>
    </row>
    <row r="176" spans="1:16" s="11" customFormat="1" x14ac:dyDescent="0.35">
      <c r="A176" s="7">
        <v>168</v>
      </c>
      <c r="B176" s="7" t="inlineStr">
        <is>
          <t>1"-A3B-WW-2003M</t>
        </is>
      </c>
      <c r="C176" s="13" t="s">
        <v>168</v>
      </c>
      <c r="D176" s="9" t="s">
        <v>203</v>
      </c>
      <c r="E176" s="9" t="s">
        <v>190</v>
      </c>
      <c r="F176" s="20">
        <v>24.256800000000002</v>
      </c>
      <c r="G176" s="23">
        <v>7</v>
      </c>
      <c r="H176" s="10">
        <f t="shared" si="17"/>
        <v>46280.75</v>
      </c>
      <c r="I176" s="93" t="str">
        <f t="shared" si="18"/>
        <v>3º</v>
      </c>
      <c r="J176" s="141"/>
      <c r="K176" s="94" t="str">
        <f>IF(VLOOKUP(C176,'Crono Furui'!$C$2:$C$189,1,FALSE)="","VERIFICAR","OK")</f>
        <v>OK</v>
      </c>
      <c r="L176" s="91">
        <f>VLOOKUP(C176,'Crono Furui'!$C:$G,2,FALSE)</f>
        <v>0</v>
      </c>
      <c r="M176" s="90">
        <f>VLOOKUP(C176,'Crono Furui'!$C:$G,5,FALSE)</f>
        <v>46279.5</v>
      </c>
      <c r="N176" s="111" t="str">
        <f t="shared" si="16"/>
        <v>ATENDE</v>
      </c>
      <c r="O176" s="134">
        <f t="shared" si="15"/>
        <v>0</v>
      </c>
      <c r="P176" s="138"/>
    </row>
    <row r="177" spans="1:20" s="11" customFormat="1" x14ac:dyDescent="0.35">
      <c r="A177" s="7">
        <v>169</v>
      </c>
      <c r="B177" s="7" t="inlineStr">
        <is>
          <t>1"-D3B-N2-9102</t>
        </is>
      </c>
      <c r="C177" s="13" t="s">
        <v>169</v>
      </c>
      <c r="D177" s="9" t="s">
        <v>203</v>
      </c>
      <c r="E177" s="9" t="s">
        <v>190</v>
      </c>
      <c r="F177" s="20">
        <v>2.4359999999999999</v>
      </c>
      <c r="G177" s="23">
        <v>2</v>
      </c>
      <c r="H177" s="10">
        <f t="shared" si="17"/>
        <v>46280.75</v>
      </c>
      <c r="I177" s="93" t="str">
        <f t="shared" si="18"/>
        <v>3º</v>
      </c>
      <c r="J177" s="141"/>
      <c r="K177" s="94" t="str">
        <f>IF(VLOOKUP(C177,'Crono Furui'!$C$2:$C$189,1,FALSE)="","VERIFICAR","OK")</f>
        <v>OK</v>
      </c>
      <c r="L177" s="91">
        <f>VLOOKUP(C177,'Crono Furui'!$C:$G,2,FALSE)</f>
        <v>0</v>
      </c>
      <c r="M177" s="90">
        <f>VLOOKUP(C177,'Crono Furui'!$C:$G,5,FALSE)</f>
        <v>46279.5</v>
      </c>
      <c r="N177" s="111" t="str">
        <f t="shared" si="16"/>
        <v>ATENDE</v>
      </c>
      <c r="O177" s="134">
        <f t="shared" si="15"/>
        <v>0</v>
      </c>
      <c r="P177" s="138"/>
    </row>
    <row r="178" spans="1:20" s="11" customFormat="1" x14ac:dyDescent="0.35">
      <c r="A178" s="7">
        <v>170</v>
      </c>
      <c r="B178" s="7" t="inlineStr">
        <is>
          <t>1"-A3B-HF-9503</t>
        </is>
      </c>
      <c r="C178" s="13" t="s">
        <v>170</v>
      </c>
      <c r="D178" s="9" t="s">
        <v>207</v>
      </c>
      <c r="E178" s="9" t="s">
        <v>190</v>
      </c>
      <c r="F178" s="20">
        <v>5.1516000000000002</v>
      </c>
      <c r="G178" s="23">
        <v>1</v>
      </c>
      <c r="H178" s="10">
        <f t="shared" si="17"/>
        <v>46280.75</v>
      </c>
      <c r="I178" s="93" t="str">
        <f t="shared" si="18"/>
        <v>3º</v>
      </c>
      <c r="J178" s="141"/>
      <c r="K178" s="94" t="str">
        <f>IF(VLOOKUP(C178,'Crono Furui'!$C$2:$C$189,1,FALSE)="","VERIFICAR","OK")</f>
        <v>OK</v>
      </c>
      <c r="L178" s="91">
        <f>VLOOKUP(C178,'Crono Furui'!$C:$G,2,FALSE)</f>
        <v>0</v>
      </c>
      <c r="M178" s="90">
        <f>VLOOKUP(C178,'Crono Furui'!$C:$G,5,FALSE)</f>
        <v>46279.5</v>
      </c>
      <c r="N178" s="111" t="str">
        <f t="shared" si="16"/>
        <v>ATENDE</v>
      </c>
      <c r="O178" s="134">
        <f t="shared" si="15"/>
        <v>0</v>
      </c>
      <c r="P178" s="138"/>
    </row>
    <row r="179" spans="1:20" s="11" customFormat="1" ht="15" customHeight="1" x14ac:dyDescent="0.35">
      <c r="A179" s="7">
        <v>171</v>
      </c>
      <c r="B179" s="7" t="inlineStr">
        <is>
          <t>2"-A3B-WW-9501M</t>
        </is>
      </c>
      <c r="C179" s="13" t="s">
        <v>171</v>
      </c>
      <c r="D179" s="9" t="s">
        <v>207</v>
      </c>
      <c r="E179" s="9" t="s">
        <v>190</v>
      </c>
      <c r="F179" s="20">
        <v>112.1324</v>
      </c>
      <c r="G179" s="23">
        <v>14</v>
      </c>
      <c r="H179" s="10">
        <f t="shared" si="17"/>
        <v>46280.75</v>
      </c>
      <c r="I179" s="93" t="str">
        <f t="shared" si="18"/>
        <v>3º</v>
      </c>
      <c r="J179" s="141"/>
      <c r="K179" s="94" t="str">
        <f>IF(VLOOKUP(C179,'Crono Furui'!$C$2:$C$189,1,FALSE)="","VERIFICAR","OK")</f>
        <v>OK</v>
      </c>
      <c r="L179" s="91">
        <f>VLOOKUP(C179,'Crono Furui'!$C:$G,2,FALSE)</f>
        <v>0</v>
      </c>
      <c r="M179" s="90">
        <f>VLOOKUP(C179,'Crono Furui'!$C:$G,5,FALSE)</f>
        <v>46251.5</v>
      </c>
      <c r="N179" s="111" t="str">
        <f t="shared" si="16"/>
        <v>ATENDE</v>
      </c>
      <c r="O179" s="134">
        <f t="shared" si="15"/>
        <v>0</v>
      </c>
      <c r="P179" s="138"/>
    </row>
    <row r="180" spans="1:20" s="11" customFormat="1" x14ac:dyDescent="0.35">
      <c r="A180" s="7">
        <v>172</v>
      </c>
      <c r="B180" s="7" t="inlineStr">
        <is>
          <t>2"-A3B-HF-9501</t>
        </is>
      </c>
      <c r="C180" s="13" t="s">
        <v>172</v>
      </c>
      <c r="D180" s="9" t="s">
        <v>207</v>
      </c>
      <c r="E180" s="9" t="s">
        <v>190</v>
      </c>
      <c r="F180" s="20">
        <v>38.058000000000007</v>
      </c>
      <c r="G180" s="23">
        <v>11</v>
      </c>
      <c r="H180" s="10">
        <f t="shared" si="17"/>
        <v>46280.75</v>
      </c>
      <c r="I180" s="93" t="str">
        <f t="shared" si="18"/>
        <v>3º</v>
      </c>
      <c r="J180" s="141"/>
      <c r="K180" s="94" t="str">
        <f>IF(VLOOKUP(C180,'Crono Furui'!$C$2:$C$189,1,FALSE)="","VERIFICAR","OK")</f>
        <v>OK</v>
      </c>
      <c r="L180" s="91">
        <f>VLOOKUP(C180,'Crono Furui'!$C:$G,2,FALSE)</f>
        <v>0</v>
      </c>
      <c r="M180" s="90">
        <f>VLOOKUP(C180,'Crono Furui'!$C:$G,5,FALSE)</f>
        <v>46251.5</v>
      </c>
      <c r="N180" s="111" t="str">
        <f t="shared" si="16"/>
        <v>ATENDE</v>
      </c>
      <c r="O180" s="134">
        <f t="shared" si="15"/>
        <v>0</v>
      </c>
      <c r="P180" s="138"/>
    </row>
    <row r="181" spans="1:20" s="11" customFormat="1" x14ac:dyDescent="0.35">
      <c r="A181" s="7">
        <v>173</v>
      </c>
      <c r="B181" s="7" t="inlineStr">
        <is>
          <t>2"-A3B-WW-9501</t>
        </is>
      </c>
      <c r="C181" s="13" t="s">
        <v>173</v>
      </c>
      <c r="D181" s="9" t="s">
        <v>207</v>
      </c>
      <c r="E181" s="9" t="s">
        <v>190</v>
      </c>
      <c r="F181" s="20">
        <v>2.7</v>
      </c>
      <c r="G181" s="23">
        <v>1</v>
      </c>
      <c r="H181" s="10">
        <f t="shared" si="17"/>
        <v>46280.75</v>
      </c>
      <c r="I181" s="93" t="str">
        <f t="shared" si="18"/>
        <v>3º</v>
      </c>
      <c r="J181" s="141"/>
      <c r="K181" s="94" t="str">
        <f>IF(VLOOKUP(C181,'Crono Furui'!$C$2:$C$189,1,FALSE)="","VERIFICAR","OK")</f>
        <v>OK</v>
      </c>
      <c r="L181" s="91">
        <f>VLOOKUP(C181,'Crono Furui'!$C:$G,2,FALSE)</f>
        <v>0</v>
      </c>
      <c r="M181" s="90">
        <f>VLOOKUP(C181,'Crono Furui'!$C:$G,5,FALSE)</f>
        <v>46251.5</v>
      </c>
      <c r="N181" s="111" t="str">
        <f t="shared" si="16"/>
        <v>ATENDE</v>
      </c>
      <c r="O181" s="134">
        <f t="shared" si="15"/>
        <v>0</v>
      </c>
      <c r="P181" s="138"/>
    </row>
    <row r="182" spans="1:20" s="11" customFormat="1" x14ac:dyDescent="0.35">
      <c r="A182" s="7">
        <v>174</v>
      </c>
      <c r="B182" s="7" t="inlineStr">
        <is>
          <t>2"-A1E-IA-9004</t>
        </is>
      </c>
      <c r="C182" s="13" t="s">
        <v>174</v>
      </c>
      <c r="D182" s="9" t="s">
        <v>215</v>
      </c>
      <c r="E182" s="9" t="s">
        <v>190</v>
      </c>
      <c r="F182" s="20">
        <v>19.926000000000002</v>
      </c>
      <c r="G182" s="23">
        <v>8</v>
      </c>
      <c r="H182" s="10">
        <f t="shared" si="17"/>
        <v>46280.75</v>
      </c>
      <c r="I182" s="93" t="str">
        <f t="shared" si="18"/>
        <v>3º</v>
      </c>
      <c r="J182" s="141"/>
      <c r="K182" s="94" t="str">
        <f>IF(VLOOKUP(C182,'Crono Furui'!$C$2:$C$189,1,FALSE)="","VERIFICAR","OK")</f>
        <v>OK</v>
      </c>
      <c r="L182" s="91">
        <f>VLOOKUP(C182,'Crono Furui'!$C:$G,2,FALSE)</f>
        <v>0</v>
      </c>
      <c r="M182" s="90">
        <f>VLOOKUP(C182,'Crono Furui'!$C:$G,5,FALSE)</f>
        <v>46251.5</v>
      </c>
      <c r="N182" s="111" t="str">
        <f t="shared" si="16"/>
        <v>ATENDE</v>
      </c>
      <c r="O182" s="134">
        <f t="shared" si="15"/>
        <v>0</v>
      </c>
      <c r="P182" s="138"/>
    </row>
    <row r="183" spans="1:20" s="11" customFormat="1" x14ac:dyDescent="0.35">
      <c r="A183" s="7">
        <v>175</v>
      </c>
      <c r="B183" s="7" t="inlineStr">
        <is>
          <t>2"-B1E-LPG-4306A</t>
        </is>
      </c>
      <c r="C183" s="13" t="s">
        <v>175</v>
      </c>
      <c r="D183" s="9" t="s">
        <v>210</v>
      </c>
      <c r="E183" s="9" t="s">
        <v>190</v>
      </c>
      <c r="F183" s="20">
        <v>49.468800000000009</v>
      </c>
      <c r="G183" s="23">
        <v>5</v>
      </c>
      <c r="H183" s="10">
        <f t="shared" si="17"/>
        <v>46280.75</v>
      </c>
      <c r="I183" s="93" t="str">
        <f t="shared" si="18"/>
        <v>3º</v>
      </c>
      <c r="J183" s="141"/>
      <c r="K183" s="94" t="str">
        <f>IF(VLOOKUP(C183,'Crono Furui'!$C$2:$C$189,1,FALSE)="","VERIFICAR","OK")</f>
        <v>OK</v>
      </c>
      <c r="L183" s="91">
        <f>VLOOKUP(C183,'Crono Furui'!$C:$G,2,FALSE)</f>
        <v>0</v>
      </c>
      <c r="M183" s="90">
        <f>VLOOKUP(C183,'Crono Furui'!$C:$G,5,FALSE)</f>
        <v>46251.5</v>
      </c>
      <c r="N183" s="111" t="str">
        <f t="shared" si="16"/>
        <v>ATENDE</v>
      </c>
      <c r="O183" s="134">
        <f t="shared" si="15"/>
        <v>0</v>
      </c>
      <c r="P183" s="138"/>
    </row>
    <row r="184" spans="1:20" s="11" customFormat="1" x14ac:dyDescent="0.35">
      <c r="A184" s="7">
        <v>176</v>
      </c>
      <c r="B184" s="7" t="inlineStr">
        <is>
          <t>2"-B3B-LO-5127A</t>
        </is>
      </c>
      <c r="C184" s="13" t="s">
        <v>176</v>
      </c>
      <c r="D184" s="9" t="s">
        <v>192</v>
      </c>
      <c r="E184" s="9" t="s">
        <v>183</v>
      </c>
      <c r="F184" s="20">
        <v>8</v>
      </c>
      <c r="G184" s="23">
        <v>5</v>
      </c>
      <c r="H184" s="10">
        <f t="shared" si="17"/>
        <v>46265.75</v>
      </c>
      <c r="I184" s="93" t="str">
        <f t="shared" si="18"/>
        <v>2º</v>
      </c>
      <c r="J184" s="141">
        <v>46268</v>
      </c>
      <c r="K184" s="94" t="str">
        <f>IF(VLOOKUP(C184,'Crono Furui'!$C$2:$C$189,1,FALSE)="","VERIFICAR","OK")</f>
        <v>OK</v>
      </c>
      <c r="L184" s="91">
        <f>VLOOKUP(C184,'Crono Furui'!$C:$G,2,FALSE)</f>
        <v>0</v>
      </c>
      <c r="M184" s="90">
        <f>VLOOKUP(C184,'Crono Furui'!$C:$G,5,FALSE)</f>
        <v>46267.666666666664</v>
      </c>
      <c r="N184" s="112">
        <f t="shared" si="16"/>
        <v>2</v>
      </c>
      <c r="O184" s="134">
        <f t="shared" si="15"/>
        <v>0</v>
      </c>
      <c r="P184" s="138"/>
    </row>
    <row r="185" spans="1:20" s="11" customFormat="1" x14ac:dyDescent="0.35">
      <c r="A185" s="7">
        <v>177</v>
      </c>
      <c r="B185" s="7" t="inlineStr">
        <is>
          <t>3"-A3B-HM-3103</t>
        </is>
      </c>
      <c r="C185" s="13" t="s">
        <v>177</v>
      </c>
      <c r="D185" s="9" t="s">
        <v>206</v>
      </c>
      <c r="E185" s="9" t="s">
        <v>185</v>
      </c>
      <c r="F185" s="20">
        <v>191.82881999999998</v>
      </c>
      <c r="G185" s="23">
        <v>12</v>
      </c>
      <c r="H185" s="10">
        <f t="shared" si="17"/>
        <v>46280.75</v>
      </c>
      <c r="I185" s="93" t="str">
        <f t="shared" si="18"/>
        <v>3º</v>
      </c>
      <c r="J185" s="141"/>
      <c r="K185" s="94" t="str">
        <f>IF(VLOOKUP(C185,'Crono Furui'!$C$2:$C$189,1,FALSE)="","VERIFICAR","OK")</f>
        <v>OK</v>
      </c>
      <c r="L185" s="91">
        <f>VLOOKUP(C185,'Crono Furui'!$C:$G,2,FALSE)</f>
        <v>0</v>
      </c>
      <c r="M185" s="90">
        <f>VLOOKUP(C185,'Crono Furui'!$C:$G,5,FALSE)</f>
        <v>46251.5</v>
      </c>
      <c r="N185" s="111" t="str">
        <f t="shared" si="16"/>
        <v>ATENDE</v>
      </c>
      <c r="O185" s="134">
        <f t="shared" si="15"/>
        <v>0</v>
      </c>
      <c r="P185" s="138"/>
    </row>
    <row r="186" spans="1:20" s="11" customFormat="1" ht="13.5" thickBot="1" x14ac:dyDescent="0.4">
      <c r="A186" s="7">
        <v>178</v>
      </c>
      <c r="B186" s="7" t="inlineStr">
        <is>
          <t>3"-A3B-HM-8201</t>
        </is>
      </c>
      <c r="C186" s="13" t="s">
        <v>178</v>
      </c>
      <c r="D186" s="9" t="s">
        <v>206</v>
      </c>
      <c r="E186" s="9" t="s">
        <v>185</v>
      </c>
      <c r="F186" s="20">
        <v>231.89411999999999</v>
      </c>
      <c r="G186" s="23">
        <v>13</v>
      </c>
      <c r="H186" s="10">
        <f t="shared" si="17"/>
        <v>46280.75</v>
      </c>
      <c r="I186" s="93" t="str">
        <f t="shared" si="18"/>
        <v>3º</v>
      </c>
      <c r="J186" s="142"/>
      <c r="K186" s="95" t="str">
        <f>IF(VLOOKUP(C186,'Crono Furui'!$C$2:$C$189,1,FALSE)="","VERIFICAR","OK")</f>
        <v>OK</v>
      </c>
      <c r="L186" s="96">
        <f>VLOOKUP(C186,'Crono Furui'!$C:$G,2,FALSE)</f>
        <v>0</v>
      </c>
      <c r="M186" s="97">
        <f>VLOOKUP(C186,'Crono Furui'!$C:$G,5,FALSE)</f>
        <v>46251.5</v>
      </c>
      <c r="N186" s="113" t="str">
        <f t="shared" si="16"/>
        <v>ATENDE</v>
      </c>
      <c r="O186" s="136">
        <f>L186*F186</f>
        <v>0</v>
      </c>
      <c r="P186" s="140"/>
    </row>
    <row r="187" spans="1:20" x14ac:dyDescent="0.35">
      <c r="D187" s="6"/>
      <c r="S187" s="12"/>
      <c r="T187" s="12"/>
    </row>
    <row r="188" spans="1:20" x14ac:dyDescent="0.35">
      <c r="D188" s="6"/>
      <c r="S188" s="12"/>
      <c r="T188" s="12"/>
    </row>
    <row r="189" spans="1:20" x14ac:dyDescent="0.35">
      <c r="D189" s="6"/>
      <c r="S189" s="12"/>
      <c r="T189" s="12"/>
    </row>
    <row r="190" spans="1:20" x14ac:dyDescent="0.35">
      <c r="D190" s="6"/>
      <c r="S190" s="12"/>
      <c r="T190" s="12"/>
    </row>
    <row r="191" spans="1:20" x14ac:dyDescent="0.35">
      <c r="D191" s="6"/>
      <c r="H191" s="12"/>
      <c r="S191" s="12"/>
      <c r="T191" s="12"/>
    </row>
    <row r="192" spans="1:20" x14ac:dyDescent="0.35">
      <c r="D192" s="6"/>
      <c r="H192" s="12"/>
      <c r="S192" s="12"/>
      <c r="T192" s="12"/>
    </row>
    <row r="193" spans="4:20" x14ac:dyDescent="0.35">
      <c r="D193" s="6"/>
      <c r="H193" s="12"/>
      <c r="S193" s="12"/>
      <c r="T193" s="12"/>
    </row>
    <row r="194" spans="4:20" x14ac:dyDescent="0.35">
      <c r="D194" s="6"/>
      <c r="H194" s="12"/>
      <c r="S194" s="12"/>
      <c r="T194" s="12"/>
    </row>
    <row r="195" spans="4:20" ht="37" customHeight="1" thickBot="1" x14ac:dyDescent="0.4">
      <c r="D195" s="13" t="s">
        <v>213</v>
      </c>
      <c r="E195" s="14" t="s">
        <v>226</v>
      </c>
      <c r="F195" s="27" t="s">
        <v>227</v>
      </c>
      <c r="G195" s="88"/>
      <c r="H195" s="12"/>
      <c r="S195" s="12"/>
      <c r="T195" s="12"/>
    </row>
    <row r="196" spans="4:20" x14ac:dyDescent="0.35">
      <c r="D196" s="15" t="s">
        <v>185</v>
      </c>
      <c r="E196" s="16"/>
      <c r="F196" s="16"/>
      <c r="G196" s="88"/>
      <c r="H196" s="28" t="s">
        <v>231</v>
      </c>
      <c r="I196" s="29" t="s">
        <v>218</v>
      </c>
      <c r="J196" s="129"/>
      <c r="S196" s="12"/>
      <c r="T196" s="12"/>
    </row>
    <row r="197" spans="4:20" x14ac:dyDescent="0.35">
      <c r="D197" s="17" t="s">
        <v>184</v>
      </c>
      <c r="E197" s="18">
        <v>46288</v>
      </c>
      <c r="F197" s="18">
        <f>H199</f>
        <v>46280.75</v>
      </c>
      <c r="G197" s="88"/>
      <c r="H197" s="30">
        <f>Cronograma!D6</f>
        <v>46251.75</v>
      </c>
      <c r="I197" s="31" t="s">
        <v>223</v>
      </c>
      <c r="J197" s="129"/>
      <c r="K197" s="11"/>
      <c r="L197" s="11"/>
      <c r="M197" s="11"/>
      <c r="S197" s="12"/>
      <c r="T197" s="12"/>
    </row>
    <row r="198" spans="4:20" x14ac:dyDescent="0.35">
      <c r="D198" s="17" t="s">
        <v>206</v>
      </c>
      <c r="E198" s="18">
        <v>46281</v>
      </c>
      <c r="F198" s="18">
        <f>F197</f>
        <v>46280.75</v>
      </c>
      <c r="G198" s="88"/>
      <c r="H198" s="30">
        <f>Cronograma!D10</f>
        <v>46265.75</v>
      </c>
      <c r="I198" s="31" t="s">
        <v>228</v>
      </c>
      <c r="J198" s="129"/>
      <c r="K198" s="11"/>
      <c r="L198" s="11"/>
      <c r="M198" s="11"/>
      <c r="S198" s="12"/>
      <c r="T198" s="12"/>
    </row>
    <row r="199" spans="4:20" x14ac:dyDescent="0.35">
      <c r="D199" s="17" t="s">
        <v>191</v>
      </c>
      <c r="E199" s="18">
        <v>46297</v>
      </c>
      <c r="F199" s="18">
        <f>F198</f>
        <v>46280.75</v>
      </c>
      <c r="G199" s="88"/>
      <c r="H199" s="30">
        <f>Cronograma!D14</f>
        <v>46280.75</v>
      </c>
      <c r="I199" s="31" t="s">
        <v>229</v>
      </c>
      <c r="J199" s="129"/>
      <c r="K199" s="11"/>
      <c r="L199" s="11"/>
      <c r="M199" s="11"/>
      <c r="S199" s="12"/>
      <c r="T199" s="12"/>
    </row>
    <row r="200" spans="4:20" ht="13.5" thickBot="1" x14ac:dyDescent="0.4">
      <c r="D200" s="17" t="s">
        <v>209</v>
      </c>
      <c r="E200" s="18">
        <v>46322</v>
      </c>
      <c r="F200" s="18">
        <f>F199</f>
        <v>46280.75</v>
      </c>
      <c r="G200" s="88"/>
      <c r="H200" s="32">
        <f>Cronograma!D18</f>
        <v>46287.75</v>
      </c>
      <c r="I200" s="33" t="s">
        <v>230</v>
      </c>
      <c r="J200" s="129"/>
      <c r="K200" s="11"/>
      <c r="L200" s="11"/>
      <c r="M200" s="11"/>
      <c r="S200" s="12"/>
      <c r="T200" s="12"/>
    </row>
    <row r="201" spans="4:20" x14ac:dyDescent="0.35">
      <c r="D201" s="17" t="s">
        <v>214</v>
      </c>
      <c r="E201" s="18">
        <v>46308</v>
      </c>
      <c r="F201" s="18">
        <f>F200</f>
        <v>46280.75</v>
      </c>
      <c r="G201" s="88"/>
      <c r="S201" s="12"/>
      <c r="T201" s="12"/>
    </row>
    <row r="202" spans="4:20" x14ac:dyDescent="0.35">
      <c r="D202" s="15" t="s">
        <v>190</v>
      </c>
      <c r="E202" s="16"/>
      <c r="F202" s="16"/>
      <c r="G202" s="88"/>
      <c r="S202" s="12"/>
      <c r="T202" s="12"/>
    </row>
    <row r="203" spans="4:20" x14ac:dyDescent="0.35">
      <c r="D203" s="17" t="s">
        <v>203</v>
      </c>
      <c r="E203" s="18">
        <v>46246</v>
      </c>
      <c r="F203" s="18">
        <f>H199</f>
        <v>46280.75</v>
      </c>
      <c r="G203" s="88"/>
      <c r="S203" s="12"/>
      <c r="T203" s="12"/>
    </row>
    <row r="204" spans="4:20" x14ac:dyDescent="0.35">
      <c r="D204" s="17" t="s">
        <v>210</v>
      </c>
      <c r="E204" s="18">
        <v>46261</v>
      </c>
      <c r="F204" s="18">
        <f>F203</f>
        <v>46280.75</v>
      </c>
      <c r="G204" s="88"/>
      <c r="S204" s="12"/>
      <c r="T204" s="12"/>
    </row>
    <row r="205" spans="4:20" x14ac:dyDescent="0.35">
      <c r="D205" s="17" t="s">
        <v>207</v>
      </c>
      <c r="E205" s="18">
        <v>46290</v>
      </c>
      <c r="F205" s="18">
        <f>F204</f>
        <v>46280.75</v>
      </c>
      <c r="G205" s="88"/>
      <c r="S205" s="12"/>
      <c r="T205" s="12"/>
    </row>
    <row r="206" spans="4:20" x14ac:dyDescent="0.35">
      <c r="D206" s="17" t="s">
        <v>215</v>
      </c>
      <c r="E206" s="18">
        <v>46308</v>
      </c>
      <c r="F206" s="18">
        <f>F205</f>
        <v>46280.75</v>
      </c>
      <c r="G206" s="88"/>
      <c r="S206" s="12"/>
      <c r="T206" s="12"/>
    </row>
    <row r="207" spans="4:20" x14ac:dyDescent="0.35">
      <c r="D207" s="17" t="s">
        <v>189</v>
      </c>
      <c r="E207" s="18">
        <v>46283</v>
      </c>
      <c r="F207" s="18">
        <f>F206</f>
        <v>46280.75</v>
      </c>
      <c r="G207" s="88"/>
      <c r="S207" s="12"/>
      <c r="T207" s="12"/>
    </row>
    <row r="208" spans="4:20" x14ac:dyDescent="0.35">
      <c r="D208" s="15" t="s">
        <v>183</v>
      </c>
      <c r="E208" s="16"/>
      <c r="F208" s="16"/>
      <c r="G208" s="88"/>
      <c r="S208" s="12"/>
      <c r="T208" s="12"/>
    </row>
    <row r="209" spans="4:20" x14ac:dyDescent="0.35">
      <c r="D209" s="17" t="s">
        <v>187</v>
      </c>
      <c r="E209" s="18">
        <v>46279</v>
      </c>
      <c r="F209" s="18">
        <f>H198</f>
        <v>46265.75</v>
      </c>
      <c r="G209" s="88"/>
      <c r="S209" s="12"/>
      <c r="T209" s="12"/>
    </row>
    <row r="210" spans="4:20" x14ac:dyDescent="0.35">
      <c r="D210" s="17" t="s">
        <v>192</v>
      </c>
      <c r="E210" s="18">
        <v>46283</v>
      </c>
      <c r="F210" s="18">
        <f>F209</f>
        <v>46265.75</v>
      </c>
      <c r="G210" s="88"/>
      <c r="S210" s="12"/>
      <c r="T210" s="12"/>
    </row>
    <row r="211" spans="4:20" x14ac:dyDescent="0.35">
      <c r="D211" s="17" t="s">
        <v>193</v>
      </c>
      <c r="E211" s="18">
        <v>46295</v>
      </c>
      <c r="F211" s="18">
        <f>F210</f>
        <v>46265.75</v>
      </c>
      <c r="G211" s="88"/>
      <c r="S211" s="12"/>
      <c r="T211" s="12"/>
    </row>
    <row r="212" spans="4:20" x14ac:dyDescent="0.35">
      <c r="D212" s="17" t="s">
        <v>208</v>
      </c>
      <c r="E212" s="18">
        <v>46279</v>
      </c>
      <c r="F212" s="18">
        <f>F211</f>
        <v>46265.75</v>
      </c>
      <c r="G212" s="88"/>
      <c r="S212" s="12"/>
      <c r="T212" s="12"/>
    </row>
    <row r="213" spans="4:20" x14ac:dyDescent="0.35">
      <c r="D213" s="17" t="s">
        <v>188</v>
      </c>
      <c r="E213" s="18">
        <v>46286</v>
      </c>
      <c r="F213" s="18">
        <f>H197</f>
        <v>46251.75</v>
      </c>
      <c r="G213" s="88"/>
      <c r="S213" s="12"/>
      <c r="T213" s="12"/>
    </row>
    <row r="214" spans="4:20" x14ac:dyDescent="0.35">
      <c r="D214" s="17" t="s">
        <v>186</v>
      </c>
      <c r="E214" s="18">
        <v>46280</v>
      </c>
      <c r="F214" s="18">
        <f>F213</f>
        <v>46251.75</v>
      </c>
      <c r="G214" s="88"/>
      <c r="S214" s="12"/>
      <c r="T214" s="12"/>
    </row>
    <row r="215" spans="4:20" x14ac:dyDescent="0.35">
      <c r="D215" s="17" t="s">
        <v>182</v>
      </c>
      <c r="E215" s="18">
        <v>46283</v>
      </c>
      <c r="F215" s="18">
        <f>F214</f>
        <v>46251.75</v>
      </c>
      <c r="G215" s="88"/>
      <c r="S215" s="12"/>
      <c r="T215" s="12"/>
    </row>
    <row r="216" spans="4:20" s="6" customFormat="1" x14ac:dyDescent="0.35">
      <c r="D216" s="15" t="s">
        <v>195</v>
      </c>
      <c r="E216" s="16"/>
      <c r="F216" s="16"/>
      <c r="G216" s="88"/>
      <c r="I216" s="12"/>
      <c r="J216" s="11"/>
      <c r="K216" s="12"/>
      <c r="L216" s="12"/>
      <c r="M216" s="12"/>
    </row>
    <row r="217" spans="4:20" s="6" customFormat="1" x14ac:dyDescent="0.35">
      <c r="D217" s="17" t="s">
        <v>201</v>
      </c>
      <c r="E217" s="18">
        <v>46276</v>
      </c>
      <c r="F217" s="18">
        <f>H200</f>
        <v>46287.75</v>
      </c>
      <c r="G217" s="88"/>
      <c r="I217" s="12"/>
      <c r="J217" s="11"/>
      <c r="K217" s="12"/>
      <c r="L217" s="12"/>
      <c r="M217" s="12"/>
    </row>
    <row r="218" spans="4:20" s="6" customFormat="1" x14ac:dyDescent="0.35">
      <c r="D218" s="17" t="s">
        <v>194</v>
      </c>
      <c r="E218" s="18">
        <v>46287</v>
      </c>
      <c r="F218" s="18">
        <f t="shared" ref="F218:F227" si="19">F217</f>
        <v>46287.75</v>
      </c>
      <c r="G218" s="88"/>
      <c r="I218" s="12"/>
      <c r="J218" s="11"/>
      <c r="K218" s="12"/>
      <c r="L218" s="12"/>
      <c r="M218" s="12"/>
    </row>
    <row r="219" spans="4:20" s="6" customFormat="1" x14ac:dyDescent="0.35">
      <c r="D219" s="17" t="s">
        <v>196</v>
      </c>
      <c r="E219" s="18">
        <v>46289</v>
      </c>
      <c r="F219" s="18">
        <f t="shared" si="19"/>
        <v>46287.75</v>
      </c>
      <c r="G219" s="88"/>
      <c r="I219" s="12"/>
      <c r="J219" s="11"/>
      <c r="K219" s="12"/>
      <c r="L219" s="12"/>
      <c r="M219" s="12"/>
    </row>
    <row r="220" spans="4:20" s="6" customFormat="1" x14ac:dyDescent="0.35">
      <c r="D220" s="17" t="s">
        <v>197</v>
      </c>
      <c r="E220" s="18">
        <v>46293</v>
      </c>
      <c r="F220" s="18">
        <f t="shared" si="19"/>
        <v>46287.75</v>
      </c>
      <c r="G220" s="88"/>
      <c r="I220" s="12"/>
      <c r="J220" s="11"/>
      <c r="K220" s="12"/>
      <c r="L220" s="12"/>
      <c r="M220" s="12"/>
    </row>
    <row r="221" spans="4:20" s="6" customFormat="1" x14ac:dyDescent="0.35">
      <c r="D221" s="17" t="s">
        <v>198</v>
      </c>
      <c r="E221" s="18">
        <v>46304</v>
      </c>
      <c r="F221" s="18">
        <f t="shared" si="19"/>
        <v>46287.75</v>
      </c>
      <c r="G221" s="88"/>
      <c r="I221" s="12"/>
      <c r="J221" s="11"/>
      <c r="K221" s="12"/>
      <c r="L221" s="12"/>
      <c r="M221" s="12"/>
    </row>
    <row r="222" spans="4:20" s="6" customFormat="1" x14ac:dyDescent="0.35">
      <c r="D222" s="17" t="s">
        <v>199</v>
      </c>
      <c r="E222" s="18">
        <v>46304</v>
      </c>
      <c r="F222" s="18">
        <f t="shared" si="19"/>
        <v>46287.75</v>
      </c>
      <c r="G222" s="88"/>
      <c r="I222" s="12"/>
      <c r="J222" s="11"/>
      <c r="K222" s="12"/>
      <c r="L222" s="12"/>
      <c r="M222" s="12"/>
    </row>
    <row r="223" spans="4:20" s="6" customFormat="1" x14ac:dyDescent="0.35">
      <c r="D223" s="17" t="s">
        <v>200</v>
      </c>
      <c r="E223" s="18">
        <v>46304</v>
      </c>
      <c r="F223" s="18">
        <f t="shared" si="19"/>
        <v>46287.75</v>
      </c>
      <c r="G223" s="88"/>
      <c r="I223" s="12"/>
      <c r="J223" s="11"/>
      <c r="K223" s="12"/>
      <c r="L223" s="12"/>
      <c r="M223" s="12"/>
    </row>
    <row r="224" spans="4:20" s="6" customFormat="1" x14ac:dyDescent="0.35">
      <c r="D224" s="17" t="s">
        <v>204</v>
      </c>
      <c r="E224" s="18">
        <v>46308</v>
      </c>
      <c r="F224" s="18">
        <f t="shared" si="19"/>
        <v>46287.75</v>
      </c>
      <c r="G224" s="88"/>
      <c r="I224" s="12"/>
      <c r="J224" s="11"/>
      <c r="K224" s="12"/>
      <c r="L224" s="12"/>
      <c r="M224" s="12"/>
    </row>
    <row r="225" spans="4:20" s="6" customFormat="1" x14ac:dyDescent="0.35">
      <c r="D225" s="17" t="s">
        <v>205</v>
      </c>
      <c r="E225" s="18">
        <v>46308</v>
      </c>
      <c r="F225" s="18">
        <f t="shared" si="19"/>
        <v>46287.75</v>
      </c>
      <c r="G225" s="88"/>
      <c r="I225" s="12"/>
      <c r="J225" s="11"/>
      <c r="K225" s="12"/>
      <c r="L225" s="12"/>
      <c r="M225" s="12"/>
    </row>
    <row r="226" spans="4:20" s="6" customFormat="1" x14ac:dyDescent="0.35">
      <c r="D226" s="17" t="s">
        <v>216</v>
      </c>
      <c r="E226" s="18">
        <v>46308</v>
      </c>
      <c r="F226" s="18">
        <f t="shared" si="19"/>
        <v>46287.75</v>
      </c>
      <c r="G226" s="88"/>
      <c r="I226" s="12"/>
      <c r="J226" s="11"/>
      <c r="K226" s="12"/>
      <c r="L226" s="12"/>
      <c r="M226" s="12"/>
    </row>
    <row r="227" spans="4:20" s="6" customFormat="1" x14ac:dyDescent="0.35">
      <c r="D227" s="17" t="s">
        <v>217</v>
      </c>
      <c r="E227" s="18">
        <v>46308</v>
      </c>
      <c r="F227" s="18">
        <f t="shared" si="19"/>
        <v>46287.75</v>
      </c>
      <c r="G227" s="88"/>
      <c r="I227" s="12"/>
      <c r="J227" s="11"/>
      <c r="K227" s="12"/>
      <c r="L227" s="12"/>
      <c r="M227" s="12"/>
    </row>
    <row r="228" spans="4:20" s="6" customFormat="1" x14ac:dyDescent="0.35">
      <c r="D228" s="15" t="s">
        <v>212</v>
      </c>
      <c r="E228" s="16"/>
      <c r="F228" s="16"/>
      <c r="G228" s="88"/>
      <c r="I228" s="12"/>
      <c r="J228" s="11"/>
      <c r="K228" s="12"/>
      <c r="L228" s="12"/>
      <c r="M228" s="12"/>
    </row>
    <row r="229" spans="4:20" s="6" customFormat="1" x14ac:dyDescent="0.35">
      <c r="D229" s="17" t="s">
        <v>211</v>
      </c>
      <c r="E229" s="18">
        <v>46237</v>
      </c>
      <c r="F229" s="18">
        <f>H200</f>
        <v>46287.75</v>
      </c>
      <c r="G229" s="88"/>
      <c r="I229" s="12"/>
      <c r="J229" s="11"/>
      <c r="K229" s="12"/>
      <c r="L229" s="12"/>
      <c r="M229" s="12"/>
    </row>
    <row r="230" spans="4:20" s="6" customFormat="1" x14ac:dyDescent="0.35">
      <c r="D230" s="15" t="s">
        <v>202</v>
      </c>
      <c r="E230" s="16"/>
      <c r="F230" s="16"/>
      <c r="G230" s="88"/>
      <c r="I230" s="12"/>
      <c r="J230" s="11"/>
      <c r="K230" s="12"/>
      <c r="L230" s="12"/>
      <c r="M230" s="12"/>
    </row>
    <row r="231" spans="4:20" s="6" customFormat="1" x14ac:dyDescent="0.35">
      <c r="D231" s="17" t="s">
        <v>180</v>
      </c>
      <c r="E231" s="18">
        <v>46266</v>
      </c>
      <c r="F231" s="18">
        <f>F229</f>
        <v>46287.75</v>
      </c>
      <c r="G231" s="88"/>
      <c r="I231" s="12"/>
      <c r="J231" s="11"/>
      <c r="K231" s="12"/>
      <c r="L231" s="12"/>
      <c r="M231" s="12"/>
    </row>
    <row r="232" spans="4:20" s="6" customFormat="1" x14ac:dyDescent="0.35">
      <c r="F232" s="21"/>
      <c r="G232" s="21"/>
      <c r="I232" s="12"/>
      <c r="J232" s="11"/>
      <c r="K232" s="12"/>
      <c r="L232" s="12"/>
      <c r="M232" s="12"/>
    </row>
    <row r="233" spans="4:20" s="6" customFormat="1" x14ac:dyDescent="0.35">
      <c r="F233" s="21"/>
      <c r="G233" s="21"/>
      <c r="I233" s="12"/>
      <c r="J233" s="11"/>
      <c r="K233" s="12"/>
      <c r="L233" s="12"/>
      <c r="M233" s="12"/>
    </row>
    <row r="234" spans="4:20" x14ac:dyDescent="0.35">
      <c r="S234" s="12"/>
      <c r="T234" s="12"/>
    </row>
    <row r="235" spans="4:20" x14ac:dyDescent="0.35">
      <c r="S235" s="12"/>
      <c r="T235" s="12"/>
    </row>
    <row r="236" spans="4:20" x14ac:dyDescent="0.35">
      <c r="S236" s="12"/>
      <c r="T236" s="12"/>
    </row>
    <row r="237" spans="4:20" x14ac:dyDescent="0.35">
      <c r="S237" s="12"/>
      <c r="T237" s="12"/>
    </row>
    <row r="238" spans="4:20" x14ac:dyDescent="0.35">
      <c r="S238" s="12"/>
      <c r="T238" s="12"/>
    </row>
    <row r="239" spans="4:20" x14ac:dyDescent="0.35">
      <c r="S239" s="12"/>
      <c r="T239" s="12"/>
    </row>
    <row r="240" spans="4:20" x14ac:dyDescent="0.35">
      <c r="S240" s="12"/>
      <c r="T240" s="12"/>
    </row>
    <row r="241" spans="19:20" x14ac:dyDescent="0.35">
      <c r="S241" s="12"/>
      <c r="T241" s="12"/>
    </row>
    <row r="242" spans="19:20" x14ac:dyDescent="0.35">
      <c r="S242" s="12"/>
      <c r="T242" s="12"/>
    </row>
    <row r="243" spans="19:20" x14ac:dyDescent="0.35">
      <c r="S243" s="12"/>
      <c r="T243" s="12"/>
    </row>
    <row r="244" spans="19:20" x14ac:dyDescent="0.35">
      <c r="S244" s="12"/>
      <c r="T244" s="12"/>
    </row>
    <row r="245" spans="19:20" x14ac:dyDescent="0.35">
      <c r="S245" s="12"/>
      <c r="T245" s="12"/>
    </row>
    <row r="246" spans="19:20" x14ac:dyDescent="0.35">
      <c r="S246" s="12"/>
      <c r="T246" s="12"/>
    </row>
    <row r="247" spans="19:20" x14ac:dyDescent="0.35">
      <c r="S247" s="12"/>
      <c r="T247" s="12"/>
    </row>
    <row r="248" spans="19:20" x14ac:dyDescent="0.35">
      <c r="S248" s="12"/>
      <c r="T248" s="12"/>
    </row>
    <row r="249" spans="19:20" x14ac:dyDescent="0.35">
      <c r="S249" s="12"/>
      <c r="T249" s="12"/>
    </row>
    <row r="250" spans="19:20" x14ac:dyDescent="0.35">
      <c r="S250" s="12"/>
      <c r="T250" s="12"/>
    </row>
    <row r="251" spans="19:20" x14ac:dyDescent="0.35">
      <c r="S251" s="12"/>
      <c r="T251" s="12"/>
    </row>
    <row r="252" spans="19:20" x14ac:dyDescent="0.35">
      <c r="S252" s="12"/>
      <c r="T252" s="12"/>
    </row>
    <row r="253" spans="19:20" x14ac:dyDescent="0.35">
      <c r="S253" s="12"/>
      <c r="T253" s="12"/>
    </row>
    <row r="254" spans="19:20" x14ac:dyDescent="0.35">
      <c r="S254" s="12"/>
      <c r="T254" s="12"/>
    </row>
    <row r="255" spans="19:20" x14ac:dyDescent="0.35">
      <c r="S255" s="12"/>
      <c r="T255" s="12"/>
    </row>
    <row r="256" spans="19:20" x14ac:dyDescent="0.35">
      <c r="S256" s="12"/>
      <c r="T256" s="12"/>
    </row>
    <row r="257" spans="19:20" x14ac:dyDescent="0.35">
      <c r="S257" s="12"/>
      <c r="T257" s="12"/>
    </row>
    <row r="258" spans="19:20" x14ac:dyDescent="0.35">
      <c r="S258" s="12"/>
      <c r="T258" s="12"/>
    </row>
    <row r="259" spans="19:20" x14ac:dyDescent="0.35">
      <c r="S259" s="12"/>
      <c r="T259" s="12"/>
    </row>
    <row r="260" spans="19:20" x14ac:dyDescent="0.35">
      <c r="S260" s="12"/>
      <c r="T260" s="12"/>
    </row>
    <row r="261" spans="19:20" x14ac:dyDescent="0.35">
      <c r="S261" s="12"/>
      <c r="T261" s="12"/>
    </row>
    <row r="262" spans="19:20" x14ac:dyDescent="0.35">
      <c r="S262" s="12"/>
      <c r="T262" s="12"/>
    </row>
    <row r="263" spans="19:20" x14ac:dyDescent="0.35">
      <c r="S263" s="12"/>
      <c r="T263" s="12"/>
    </row>
    <row r="264" spans="19:20" x14ac:dyDescent="0.35">
      <c r="S264" s="12"/>
      <c r="T264" s="12"/>
    </row>
    <row r="265" spans="19:20" x14ac:dyDescent="0.35">
      <c r="S265" s="12"/>
      <c r="T265" s="12"/>
    </row>
    <row r="266" spans="19:20" x14ac:dyDescent="0.35">
      <c r="S266" s="12"/>
      <c r="T266" s="12"/>
    </row>
    <row r="267" spans="19:20" x14ac:dyDescent="0.35">
      <c r="S267" s="12"/>
      <c r="T267" s="12"/>
    </row>
    <row r="268" spans="19:20" x14ac:dyDescent="0.35">
      <c r="S268" s="12"/>
      <c r="T268" s="12"/>
    </row>
    <row r="269" spans="19:20" x14ac:dyDescent="0.35">
      <c r="S269" s="12"/>
      <c r="T269" s="12"/>
    </row>
    <row r="270" spans="19:20" x14ac:dyDescent="0.35">
      <c r="S270" s="12"/>
      <c r="T270" s="12"/>
    </row>
    <row r="271" spans="19:20" x14ac:dyDescent="0.35">
      <c r="S271" s="12"/>
      <c r="T271" s="12"/>
    </row>
    <row r="272" spans="19:20" x14ac:dyDescent="0.35">
      <c r="S272" s="12"/>
      <c r="T272" s="12"/>
    </row>
    <row r="273" spans="19:20" x14ac:dyDescent="0.35">
      <c r="S273" s="12"/>
      <c r="T273" s="12"/>
    </row>
    <row r="274" spans="19:20" x14ac:dyDescent="0.35">
      <c r="S274" s="12"/>
      <c r="T274" s="12"/>
    </row>
    <row r="275" spans="19:20" x14ac:dyDescent="0.35">
      <c r="S275" s="12"/>
      <c r="T275" s="12"/>
    </row>
    <row r="276" spans="19:20" x14ac:dyDescent="0.35">
      <c r="S276" s="12"/>
      <c r="T276" s="12"/>
    </row>
    <row r="277" spans="19:20" x14ac:dyDescent="0.35">
      <c r="S277" s="12"/>
      <c r="T277" s="12"/>
    </row>
    <row r="278" spans="19:20" x14ac:dyDescent="0.35">
      <c r="S278" s="12"/>
      <c r="T278" s="12"/>
    </row>
    <row r="279" spans="19:20" x14ac:dyDescent="0.35">
      <c r="S279" s="12"/>
      <c r="T279" s="12"/>
    </row>
    <row r="280" spans="19:20" x14ac:dyDescent="0.35">
      <c r="S280" s="12"/>
      <c r="T280" s="12"/>
    </row>
    <row r="281" spans="19:20" x14ac:dyDescent="0.35">
      <c r="S281" s="12"/>
      <c r="T281" s="12"/>
    </row>
    <row r="282" spans="19:20" x14ac:dyDescent="0.35">
      <c r="S282" s="12"/>
      <c r="T282" s="12"/>
    </row>
    <row r="283" spans="19:20" x14ac:dyDescent="0.35">
      <c r="S283" s="12"/>
      <c r="T283" s="12"/>
    </row>
    <row r="284" spans="19:20" x14ac:dyDescent="0.35">
      <c r="S284" s="12"/>
      <c r="T284" s="12"/>
    </row>
    <row r="285" spans="19:20" x14ac:dyDescent="0.35">
      <c r="S285" s="12"/>
      <c r="T285" s="12"/>
    </row>
    <row r="286" spans="19:20" x14ac:dyDescent="0.35">
      <c r="S286" s="12"/>
      <c r="T286" s="12"/>
    </row>
    <row r="287" spans="19:20" x14ac:dyDescent="0.35">
      <c r="S287" s="12"/>
      <c r="T287" s="12"/>
    </row>
    <row r="288" spans="19:20" x14ac:dyDescent="0.35">
      <c r="S288" s="12"/>
      <c r="T288" s="12"/>
    </row>
    <row r="289" spans="19:20" x14ac:dyDescent="0.35">
      <c r="S289" s="12"/>
      <c r="T289" s="12"/>
    </row>
    <row r="290" spans="19:20" x14ac:dyDescent="0.35">
      <c r="S290" s="12"/>
      <c r="T290" s="12"/>
    </row>
    <row r="291" spans="19:20" x14ac:dyDescent="0.35">
      <c r="S291" s="12"/>
      <c r="T291" s="12"/>
    </row>
    <row r="292" spans="19:20" x14ac:dyDescent="0.35">
      <c r="S292" s="12"/>
      <c r="T292" s="12"/>
    </row>
    <row r="293" spans="19:20" x14ac:dyDescent="0.35">
      <c r="S293" s="12"/>
      <c r="T293" s="12"/>
    </row>
    <row r="294" spans="19:20" x14ac:dyDescent="0.35">
      <c r="S294" s="12"/>
      <c r="T294" s="12"/>
    </row>
    <row r="295" spans="19:20" x14ac:dyDescent="0.35">
      <c r="S295" s="12"/>
      <c r="T295" s="12"/>
    </row>
    <row r="296" spans="19:20" x14ac:dyDescent="0.35">
      <c r="S296" s="12"/>
      <c r="T296" s="12"/>
    </row>
    <row r="297" spans="19:20" x14ac:dyDescent="0.35">
      <c r="S297" s="12"/>
      <c r="T297" s="12"/>
    </row>
    <row r="298" spans="19:20" x14ac:dyDescent="0.35">
      <c r="S298" s="12"/>
      <c r="T298" s="12"/>
    </row>
    <row r="299" spans="19:20" x14ac:dyDescent="0.35">
      <c r="S299" s="12"/>
      <c r="T299" s="12"/>
    </row>
    <row r="300" spans="19:20" x14ac:dyDescent="0.35">
      <c r="S300" s="12"/>
      <c r="T300" s="12"/>
    </row>
    <row r="301" spans="19:20" x14ac:dyDescent="0.35">
      <c r="S301" s="12"/>
      <c r="T301" s="12"/>
    </row>
    <row r="302" spans="19:20" x14ac:dyDescent="0.35">
      <c r="S302" s="12"/>
      <c r="T302" s="12"/>
    </row>
    <row r="303" spans="19:20" x14ac:dyDescent="0.35">
      <c r="S303" s="12"/>
      <c r="T303" s="12"/>
    </row>
    <row r="304" spans="19:20" x14ac:dyDescent="0.35">
      <c r="S304" s="12"/>
      <c r="T304" s="12"/>
    </row>
    <row r="305" spans="19:20" x14ac:dyDescent="0.35">
      <c r="S305" s="12"/>
      <c r="T305" s="12"/>
    </row>
    <row r="306" spans="19:20" x14ac:dyDescent="0.35">
      <c r="S306" s="12"/>
      <c r="T306" s="12"/>
    </row>
    <row r="307" spans="19:20" x14ac:dyDescent="0.35">
      <c r="S307" s="12"/>
      <c r="T307" s="12"/>
    </row>
    <row r="308" spans="19:20" x14ac:dyDescent="0.35">
      <c r="S308" s="12"/>
      <c r="T308" s="12"/>
    </row>
    <row r="309" spans="19:20" x14ac:dyDescent="0.35">
      <c r="S309" s="12"/>
      <c r="T309" s="12"/>
    </row>
    <row r="310" spans="19:20" x14ac:dyDescent="0.35">
      <c r="S310" s="12"/>
      <c r="T310" s="12"/>
    </row>
    <row r="311" spans="19:20" x14ac:dyDescent="0.35">
      <c r="S311" s="12"/>
      <c r="T311" s="12"/>
    </row>
    <row r="312" spans="19:20" x14ac:dyDescent="0.35">
      <c r="S312" s="12"/>
      <c r="T312" s="12"/>
    </row>
    <row r="313" spans="19:20" x14ac:dyDescent="0.35">
      <c r="S313" s="12"/>
      <c r="T313" s="12"/>
    </row>
    <row r="314" spans="19:20" x14ac:dyDescent="0.35">
      <c r="S314" s="12"/>
      <c r="T314" s="12"/>
    </row>
    <row r="315" spans="19:20" x14ac:dyDescent="0.35">
      <c r="S315" s="12"/>
      <c r="T315" s="12"/>
    </row>
    <row r="316" spans="19:20" x14ac:dyDescent="0.35">
      <c r="S316" s="12"/>
      <c r="T316" s="12"/>
    </row>
    <row r="317" spans="19:20" x14ac:dyDescent="0.35">
      <c r="S317" s="12"/>
      <c r="T317" s="12"/>
    </row>
    <row r="318" spans="19:20" x14ac:dyDescent="0.35">
      <c r="S318" s="12"/>
      <c r="T318" s="12"/>
    </row>
    <row r="319" spans="19:20" x14ac:dyDescent="0.35">
      <c r="S319" s="12"/>
      <c r="T319" s="12"/>
    </row>
    <row r="320" spans="19:20" x14ac:dyDescent="0.35">
      <c r="S320" s="12"/>
      <c r="T320" s="12"/>
    </row>
    <row r="321" spans="19:20" x14ac:dyDescent="0.35">
      <c r="S321" s="12"/>
      <c r="T321" s="12"/>
    </row>
    <row r="322" spans="19:20" x14ac:dyDescent="0.35">
      <c r="S322" s="12"/>
      <c r="T322" s="12"/>
    </row>
    <row r="323" spans="19:20" x14ac:dyDescent="0.35">
      <c r="S323" s="12"/>
      <c r="T323" s="12"/>
    </row>
    <row r="324" spans="19:20" x14ac:dyDescent="0.35">
      <c r="S324" s="12"/>
      <c r="T324" s="12"/>
    </row>
    <row r="325" spans="19:20" x14ac:dyDescent="0.35">
      <c r="S325" s="12"/>
      <c r="T325" s="12"/>
    </row>
    <row r="326" spans="19:20" x14ac:dyDescent="0.35">
      <c r="S326" s="12"/>
      <c r="T326" s="12"/>
    </row>
    <row r="327" spans="19:20" x14ac:dyDescent="0.35">
      <c r="S327" s="12"/>
      <c r="T327" s="12"/>
    </row>
    <row r="328" spans="19:20" x14ac:dyDescent="0.35">
      <c r="S328" s="12"/>
      <c r="T328" s="12"/>
    </row>
    <row r="329" spans="19:20" x14ac:dyDescent="0.35">
      <c r="S329" s="12"/>
      <c r="T329" s="12"/>
    </row>
    <row r="330" spans="19:20" x14ac:dyDescent="0.35">
      <c r="S330" s="12"/>
      <c r="T330" s="12"/>
    </row>
    <row r="331" spans="19:20" x14ac:dyDescent="0.35">
      <c r="S331" s="12"/>
      <c r="T331" s="12"/>
    </row>
    <row r="332" spans="19:20" x14ac:dyDescent="0.35">
      <c r="S332" s="12"/>
      <c r="T332" s="12"/>
    </row>
    <row r="333" spans="19:20" x14ac:dyDescent="0.35">
      <c r="S333" s="12"/>
      <c r="T333" s="12"/>
    </row>
    <row r="334" spans="19:20" x14ac:dyDescent="0.35">
      <c r="S334" s="12"/>
      <c r="T334" s="12"/>
    </row>
    <row r="335" spans="19:20" x14ac:dyDescent="0.35">
      <c r="S335" s="12"/>
      <c r="T335" s="12"/>
    </row>
    <row r="336" spans="19:20" x14ac:dyDescent="0.35">
      <c r="S336" s="12"/>
      <c r="T336" s="12"/>
    </row>
    <row r="337" spans="19:20" x14ac:dyDescent="0.35">
      <c r="S337" s="12"/>
      <c r="T337" s="12"/>
    </row>
    <row r="338" spans="19:20" x14ac:dyDescent="0.35">
      <c r="S338" s="12"/>
      <c r="T338" s="12"/>
    </row>
    <row r="339" spans="19:20" x14ac:dyDescent="0.35">
      <c r="S339" s="12"/>
      <c r="T339" s="12"/>
    </row>
    <row r="340" spans="19:20" x14ac:dyDescent="0.35">
      <c r="S340" s="12"/>
      <c r="T340" s="12"/>
    </row>
    <row r="341" spans="19:20" x14ac:dyDescent="0.35">
      <c r="S341" s="12"/>
      <c r="T341" s="12"/>
    </row>
    <row r="342" spans="19:20" x14ac:dyDescent="0.35">
      <c r="S342" s="12"/>
      <c r="T342" s="12"/>
    </row>
    <row r="343" spans="19:20" x14ac:dyDescent="0.35">
      <c r="S343" s="12"/>
      <c r="T343" s="12"/>
    </row>
    <row r="344" spans="19:20" x14ac:dyDescent="0.35">
      <c r="S344" s="12"/>
      <c r="T344" s="12"/>
    </row>
    <row r="345" spans="19:20" x14ac:dyDescent="0.35">
      <c r="S345" s="12"/>
      <c r="T345" s="12"/>
    </row>
    <row r="346" spans="19:20" x14ac:dyDescent="0.35">
      <c r="S346" s="12"/>
      <c r="T346" s="12"/>
    </row>
    <row r="347" spans="19:20" x14ac:dyDescent="0.35">
      <c r="S347" s="12"/>
      <c r="T347" s="12"/>
    </row>
    <row r="348" spans="19:20" x14ac:dyDescent="0.35">
      <c r="S348" s="12"/>
      <c r="T348" s="12"/>
    </row>
    <row r="349" spans="19:20" x14ac:dyDescent="0.35">
      <c r="S349" s="12"/>
      <c r="T349" s="12"/>
    </row>
    <row r="350" spans="19:20" x14ac:dyDescent="0.35">
      <c r="S350" s="12"/>
      <c r="T350" s="12"/>
    </row>
    <row r="351" spans="19:20" x14ac:dyDescent="0.35">
      <c r="S351" s="12"/>
      <c r="T351" s="12"/>
    </row>
    <row r="352" spans="19:20" x14ac:dyDescent="0.35">
      <c r="S352" s="12"/>
      <c r="T352" s="12"/>
    </row>
    <row r="353" spans="19:20" x14ac:dyDescent="0.35">
      <c r="S353" s="12"/>
      <c r="T353" s="12"/>
    </row>
    <row r="354" spans="19:20" x14ac:dyDescent="0.35">
      <c r="S354" s="12"/>
      <c r="T354" s="12"/>
    </row>
    <row r="355" spans="19:20" x14ac:dyDescent="0.35">
      <c r="S355" s="12"/>
      <c r="T355" s="12"/>
    </row>
    <row r="356" spans="19:20" x14ac:dyDescent="0.35">
      <c r="S356" s="12"/>
      <c r="T356" s="12"/>
    </row>
    <row r="357" spans="19:20" x14ac:dyDescent="0.35">
      <c r="S357" s="12"/>
      <c r="T357" s="12"/>
    </row>
    <row r="358" spans="19:20" x14ac:dyDescent="0.35">
      <c r="S358" s="12"/>
      <c r="T358" s="12"/>
    </row>
    <row r="359" spans="19:20" x14ac:dyDescent="0.35">
      <c r="S359" s="12"/>
      <c r="T359" s="12"/>
    </row>
    <row r="360" spans="19:20" x14ac:dyDescent="0.35">
      <c r="S360" s="12"/>
      <c r="T360" s="12"/>
    </row>
    <row r="361" spans="19:20" x14ac:dyDescent="0.35">
      <c r="S361" s="12"/>
      <c r="T361" s="12"/>
    </row>
    <row r="362" spans="19:20" x14ac:dyDescent="0.35">
      <c r="S362" s="12"/>
      <c r="T362" s="12"/>
    </row>
    <row r="363" spans="19:20" x14ac:dyDescent="0.35">
      <c r="S363" s="12"/>
      <c r="T363" s="12"/>
    </row>
    <row r="364" spans="19:20" x14ac:dyDescent="0.35">
      <c r="S364" s="12"/>
      <c r="T364" s="12"/>
    </row>
    <row r="365" spans="19:20" x14ac:dyDescent="0.35">
      <c r="S365" s="12"/>
      <c r="T365" s="12"/>
    </row>
    <row r="366" spans="19:20" x14ac:dyDescent="0.35">
      <c r="S366" s="12"/>
      <c r="T366" s="12"/>
    </row>
    <row r="367" spans="19:20" x14ac:dyDescent="0.35">
      <c r="S367" s="12"/>
      <c r="T367" s="12"/>
    </row>
    <row r="368" spans="19:20" x14ac:dyDescent="0.35">
      <c r="S368" s="12"/>
      <c r="T368" s="12"/>
    </row>
    <row r="369" spans="19:20" x14ac:dyDescent="0.35">
      <c r="S369" s="12"/>
      <c r="T369" s="12"/>
    </row>
    <row r="370" spans="19:20" x14ac:dyDescent="0.35">
      <c r="S370" s="12"/>
      <c r="T370" s="12"/>
    </row>
    <row r="371" spans="19:20" x14ac:dyDescent="0.35">
      <c r="S371" s="12"/>
      <c r="T371" s="12"/>
    </row>
    <row r="372" spans="19:20" x14ac:dyDescent="0.35">
      <c r="S372" s="12"/>
      <c r="T372" s="12"/>
    </row>
    <row r="373" spans="19:20" x14ac:dyDescent="0.35">
      <c r="S373" s="12"/>
      <c r="T373" s="12"/>
    </row>
    <row r="374" spans="19:20" x14ac:dyDescent="0.35">
      <c r="S374" s="12"/>
      <c r="T374" s="12"/>
    </row>
    <row r="375" spans="19:20" x14ac:dyDescent="0.35">
      <c r="S375" s="12"/>
      <c r="T375" s="12"/>
    </row>
    <row r="376" spans="19:20" x14ac:dyDescent="0.35">
      <c r="S376" s="12"/>
      <c r="T376" s="12"/>
    </row>
    <row r="377" spans="19:20" x14ac:dyDescent="0.35">
      <c r="S377" s="12"/>
      <c r="T377" s="12"/>
    </row>
    <row r="378" spans="19:20" x14ac:dyDescent="0.35">
      <c r="S378" s="12"/>
      <c r="T378" s="12"/>
    </row>
    <row r="379" spans="19:20" x14ac:dyDescent="0.35">
      <c r="S379" s="12"/>
      <c r="T379" s="12"/>
    </row>
    <row r="380" spans="19:20" x14ac:dyDescent="0.35">
      <c r="S380" s="12"/>
      <c r="T380" s="12"/>
    </row>
    <row r="381" spans="19:20" x14ac:dyDescent="0.35">
      <c r="S381" s="12"/>
      <c r="T381" s="12"/>
    </row>
    <row r="382" spans="19:20" x14ac:dyDescent="0.35">
      <c r="S382" s="12"/>
      <c r="T382" s="12"/>
    </row>
    <row r="383" spans="19:20" x14ac:dyDescent="0.35">
      <c r="S383" s="12"/>
      <c r="T383" s="12"/>
    </row>
    <row r="384" spans="19:20" x14ac:dyDescent="0.35">
      <c r="S384" s="12"/>
      <c r="T384" s="12"/>
    </row>
    <row r="385" spans="19:20" x14ac:dyDescent="0.35">
      <c r="S385" s="12"/>
      <c r="T385" s="12"/>
    </row>
    <row r="386" spans="19:20" x14ac:dyDescent="0.35">
      <c r="S386" s="12"/>
      <c r="T386" s="12"/>
    </row>
    <row r="387" spans="19:20" x14ac:dyDescent="0.35">
      <c r="S387" s="12"/>
      <c r="T387" s="12"/>
    </row>
    <row r="388" spans="19:20" x14ac:dyDescent="0.35">
      <c r="S388" s="12"/>
      <c r="T388" s="12"/>
    </row>
    <row r="389" spans="19:20" x14ac:dyDescent="0.35">
      <c r="S389" s="12"/>
      <c r="T389" s="12"/>
    </row>
    <row r="390" spans="19:20" x14ac:dyDescent="0.35">
      <c r="S390" s="12"/>
      <c r="T390" s="12"/>
    </row>
    <row r="391" spans="19:20" x14ac:dyDescent="0.35">
      <c r="S391" s="12"/>
      <c r="T391" s="12"/>
    </row>
    <row r="392" spans="19:20" x14ac:dyDescent="0.35">
      <c r="S392" s="12"/>
      <c r="T392" s="12"/>
    </row>
    <row r="393" spans="19:20" x14ac:dyDescent="0.35">
      <c r="S393" s="12"/>
      <c r="T393" s="12"/>
    </row>
    <row r="394" spans="19:20" x14ac:dyDescent="0.35">
      <c r="S394" s="12"/>
      <c r="T394" s="12"/>
    </row>
    <row r="395" spans="19:20" x14ac:dyDescent="0.35">
      <c r="S395" s="12"/>
      <c r="T395" s="12"/>
    </row>
    <row r="396" spans="19:20" x14ac:dyDescent="0.35">
      <c r="S396" s="12"/>
      <c r="T396" s="12"/>
    </row>
    <row r="397" spans="19:20" x14ac:dyDescent="0.35">
      <c r="S397" s="12"/>
      <c r="T397" s="12"/>
    </row>
    <row r="398" spans="19:20" x14ac:dyDescent="0.35">
      <c r="S398" s="12"/>
      <c r="T398" s="12"/>
    </row>
    <row r="399" spans="19:20" x14ac:dyDescent="0.35">
      <c r="S399" s="12"/>
      <c r="T399" s="12"/>
    </row>
    <row r="400" spans="19:20" x14ac:dyDescent="0.35">
      <c r="S400" s="12"/>
      <c r="T400" s="12"/>
    </row>
    <row r="401" spans="19:20" x14ac:dyDescent="0.35">
      <c r="S401" s="12"/>
      <c r="T401" s="12"/>
    </row>
    <row r="402" spans="19:20" x14ac:dyDescent="0.35">
      <c r="S402" s="12"/>
      <c r="T402" s="12"/>
    </row>
    <row r="403" spans="19:20" x14ac:dyDescent="0.35">
      <c r="S403" s="12"/>
      <c r="T403" s="12"/>
    </row>
    <row r="404" spans="19:20" x14ac:dyDescent="0.35">
      <c r="S404" s="12"/>
      <c r="T404" s="12"/>
    </row>
    <row r="405" spans="19:20" x14ac:dyDescent="0.35">
      <c r="S405" s="12"/>
      <c r="T405" s="12"/>
    </row>
    <row r="406" spans="19:20" x14ac:dyDescent="0.35">
      <c r="S406" s="12"/>
      <c r="T406" s="12"/>
    </row>
    <row r="407" spans="19:20" x14ac:dyDescent="0.35">
      <c r="S407" s="12"/>
      <c r="T407" s="12"/>
    </row>
    <row r="408" spans="19:20" x14ac:dyDescent="0.35">
      <c r="S408" s="12"/>
      <c r="T408" s="12"/>
    </row>
    <row r="409" spans="19:20" x14ac:dyDescent="0.35">
      <c r="S409" s="12"/>
      <c r="T409" s="12"/>
    </row>
    <row r="410" spans="19:20" x14ac:dyDescent="0.35">
      <c r="S410" s="12"/>
      <c r="T410" s="12"/>
    </row>
    <row r="411" spans="19:20" x14ac:dyDescent="0.35">
      <c r="S411" s="12"/>
      <c r="T411" s="12"/>
    </row>
    <row r="412" spans="19:20" x14ac:dyDescent="0.35">
      <c r="S412" s="12"/>
      <c r="T412" s="12"/>
    </row>
    <row r="413" spans="19:20" x14ac:dyDescent="0.35">
      <c r="S413" s="12"/>
      <c r="T413" s="12"/>
    </row>
    <row r="414" spans="19:20" x14ac:dyDescent="0.35">
      <c r="S414" s="12"/>
      <c r="T414" s="12"/>
    </row>
    <row r="415" spans="19:20" x14ac:dyDescent="0.35">
      <c r="S415" s="12"/>
      <c r="T415" s="12"/>
    </row>
    <row r="416" spans="19:20" x14ac:dyDescent="0.35">
      <c r="S416" s="12"/>
      <c r="T416" s="12"/>
    </row>
    <row r="417" spans="19:20" x14ac:dyDescent="0.35">
      <c r="S417" s="12"/>
      <c r="T417" s="12"/>
    </row>
    <row r="418" spans="19:20" x14ac:dyDescent="0.35">
      <c r="S418" s="12"/>
      <c r="T418" s="12"/>
    </row>
    <row r="419" spans="19:20" x14ac:dyDescent="0.35">
      <c r="S419" s="12"/>
      <c r="T419" s="12"/>
    </row>
    <row r="420" spans="19:20" x14ac:dyDescent="0.35">
      <c r="S420" s="12"/>
      <c r="T420" s="12"/>
    </row>
    <row r="421" spans="19:20" x14ac:dyDescent="0.35">
      <c r="S421" s="12"/>
      <c r="T421" s="12"/>
    </row>
    <row r="422" spans="19:20" x14ac:dyDescent="0.35">
      <c r="S422" s="12"/>
      <c r="T422" s="12"/>
    </row>
    <row r="423" spans="19:20" x14ac:dyDescent="0.35">
      <c r="S423" s="12"/>
      <c r="T423" s="12"/>
    </row>
    <row r="424" spans="19:20" x14ac:dyDescent="0.35">
      <c r="S424" s="12"/>
      <c r="T424" s="12"/>
    </row>
    <row r="425" spans="19:20" x14ac:dyDescent="0.35">
      <c r="S425" s="12"/>
      <c r="T425" s="12"/>
    </row>
    <row r="426" spans="19:20" x14ac:dyDescent="0.35">
      <c r="S426" s="12"/>
      <c r="T426" s="12"/>
    </row>
    <row r="427" spans="19:20" x14ac:dyDescent="0.35">
      <c r="S427" s="12"/>
      <c r="T427" s="12"/>
    </row>
    <row r="428" spans="19:20" x14ac:dyDescent="0.35">
      <c r="S428" s="12"/>
      <c r="T428" s="12"/>
    </row>
    <row r="429" spans="19:20" x14ac:dyDescent="0.35">
      <c r="S429" s="12"/>
      <c r="T429" s="12"/>
    </row>
    <row r="430" spans="19:20" x14ac:dyDescent="0.35">
      <c r="S430" s="12"/>
      <c r="T430" s="12"/>
    </row>
    <row r="431" spans="19:20" x14ac:dyDescent="0.35">
      <c r="S431" s="12"/>
      <c r="T431" s="12"/>
    </row>
    <row r="432" spans="19:20" x14ac:dyDescent="0.35">
      <c r="S432" s="12"/>
      <c r="T432" s="12"/>
    </row>
    <row r="433" spans="19:20" x14ac:dyDescent="0.35">
      <c r="S433" s="12"/>
      <c r="T433" s="12"/>
    </row>
    <row r="434" spans="19:20" x14ac:dyDescent="0.35">
      <c r="S434" s="12"/>
      <c r="T434" s="12"/>
    </row>
    <row r="435" spans="19:20" x14ac:dyDescent="0.35">
      <c r="S435" s="12"/>
      <c r="T435" s="12"/>
    </row>
    <row r="436" spans="19:20" x14ac:dyDescent="0.35">
      <c r="S436" s="12"/>
      <c r="T436" s="12"/>
    </row>
    <row r="437" spans="19:20" x14ac:dyDescent="0.35">
      <c r="S437" s="12"/>
      <c r="T437" s="12"/>
    </row>
    <row r="438" spans="19:20" x14ac:dyDescent="0.35">
      <c r="S438" s="12"/>
      <c r="T438" s="12"/>
    </row>
    <row r="439" spans="19:20" x14ac:dyDescent="0.35">
      <c r="S439" s="12"/>
      <c r="T439" s="12"/>
    </row>
    <row r="440" spans="19:20" x14ac:dyDescent="0.35">
      <c r="S440" s="12"/>
      <c r="T440" s="12"/>
    </row>
    <row r="441" spans="19:20" x14ac:dyDescent="0.35">
      <c r="S441" s="12"/>
      <c r="T441" s="12"/>
    </row>
    <row r="442" spans="19:20" x14ac:dyDescent="0.35">
      <c r="S442" s="12"/>
      <c r="T442" s="12"/>
    </row>
    <row r="443" spans="19:20" x14ac:dyDescent="0.35">
      <c r="S443" s="12"/>
      <c r="T443" s="12"/>
    </row>
    <row r="444" spans="19:20" x14ac:dyDescent="0.35">
      <c r="S444" s="12"/>
      <c r="T444" s="12"/>
    </row>
    <row r="445" spans="19:20" x14ac:dyDescent="0.35">
      <c r="S445" s="12"/>
      <c r="T445" s="12"/>
    </row>
    <row r="446" spans="19:20" x14ac:dyDescent="0.35">
      <c r="S446" s="12"/>
      <c r="T446" s="12"/>
    </row>
    <row r="447" spans="19:20" x14ac:dyDescent="0.35">
      <c r="S447" s="12"/>
      <c r="T447" s="12"/>
    </row>
    <row r="448" spans="19:20" x14ac:dyDescent="0.35">
      <c r="S448" s="12"/>
      <c r="T448" s="12"/>
    </row>
    <row r="449" spans="19:20" x14ac:dyDescent="0.35">
      <c r="S449" s="12"/>
      <c r="T449" s="12"/>
    </row>
    <row r="450" spans="19:20" x14ac:dyDescent="0.35">
      <c r="S450" s="12"/>
      <c r="T450" s="12"/>
    </row>
    <row r="451" spans="19:20" x14ac:dyDescent="0.35">
      <c r="S451" s="12"/>
      <c r="T451" s="12"/>
    </row>
    <row r="452" spans="19:20" x14ac:dyDescent="0.35">
      <c r="S452" s="12"/>
      <c r="T452" s="12"/>
    </row>
    <row r="453" spans="19:20" x14ac:dyDescent="0.35">
      <c r="S453" s="12"/>
      <c r="T453" s="12"/>
    </row>
    <row r="454" spans="19:20" x14ac:dyDescent="0.35">
      <c r="S454" s="12"/>
      <c r="T454" s="12"/>
    </row>
    <row r="455" spans="19:20" x14ac:dyDescent="0.35">
      <c r="S455" s="12"/>
      <c r="T455" s="12"/>
    </row>
    <row r="456" spans="19:20" x14ac:dyDescent="0.35">
      <c r="S456" s="12"/>
      <c r="T456" s="12"/>
    </row>
    <row r="457" spans="19:20" x14ac:dyDescent="0.35">
      <c r="S457" s="12"/>
      <c r="T457" s="12"/>
    </row>
    <row r="458" spans="19:20" x14ac:dyDescent="0.35">
      <c r="S458" s="12"/>
      <c r="T458" s="12"/>
    </row>
    <row r="459" spans="19:20" x14ac:dyDescent="0.35">
      <c r="S459" s="12"/>
      <c r="T459" s="12"/>
    </row>
    <row r="460" spans="19:20" x14ac:dyDescent="0.35">
      <c r="S460" s="12"/>
      <c r="T460" s="12"/>
    </row>
    <row r="461" spans="19:20" x14ac:dyDescent="0.35">
      <c r="S461" s="12"/>
      <c r="T461" s="12"/>
    </row>
    <row r="462" spans="19:20" x14ac:dyDescent="0.35">
      <c r="S462" s="12"/>
      <c r="T462" s="12"/>
    </row>
    <row r="463" spans="19:20" x14ac:dyDescent="0.35">
      <c r="S463" s="12"/>
      <c r="T463" s="12"/>
    </row>
    <row r="464" spans="19:20" x14ac:dyDescent="0.35">
      <c r="S464" s="12"/>
      <c r="T464" s="12"/>
    </row>
    <row r="465" spans="19:20" x14ac:dyDescent="0.35">
      <c r="S465" s="12"/>
      <c r="T465" s="12"/>
    </row>
    <row r="466" spans="19:20" x14ac:dyDescent="0.35">
      <c r="S466" s="12"/>
      <c r="T466" s="12"/>
    </row>
    <row r="467" spans="19:20" x14ac:dyDescent="0.35">
      <c r="S467" s="12"/>
      <c r="T467" s="12"/>
    </row>
    <row r="468" spans="19:20" x14ac:dyDescent="0.35">
      <c r="S468" s="12"/>
      <c r="T468" s="12"/>
    </row>
    <row r="469" spans="19:20" x14ac:dyDescent="0.35">
      <c r="S469" s="12"/>
      <c r="T469" s="12"/>
    </row>
    <row r="470" spans="19:20" x14ac:dyDescent="0.35">
      <c r="S470" s="12"/>
      <c r="T470" s="12"/>
    </row>
    <row r="471" spans="19:20" x14ac:dyDescent="0.35">
      <c r="S471" s="12"/>
      <c r="T471" s="12"/>
    </row>
    <row r="472" spans="19:20" x14ac:dyDescent="0.35">
      <c r="S472" s="12"/>
      <c r="T472" s="12"/>
    </row>
    <row r="473" spans="19:20" x14ac:dyDescent="0.35">
      <c r="S473" s="12"/>
      <c r="T473" s="12"/>
    </row>
    <row r="474" spans="19:20" x14ac:dyDescent="0.35">
      <c r="S474" s="12"/>
      <c r="T474" s="12"/>
    </row>
    <row r="475" spans="19:20" x14ac:dyDescent="0.35">
      <c r="S475" s="12"/>
      <c r="T475" s="12"/>
    </row>
    <row r="476" spans="19:20" x14ac:dyDescent="0.35">
      <c r="S476" s="12"/>
      <c r="T476" s="12"/>
    </row>
    <row r="477" spans="19:20" x14ac:dyDescent="0.35">
      <c r="S477" s="12"/>
      <c r="T477" s="12"/>
    </row>
    <row r="478" spans="19:20" x14ac:dyDescent="0.35">
      <c r="S478" s="12"/>
      <c r="T478" s="12"/>
    </row>
    <row r="479" spans="19:20" x14ac:dyDescent="0.35">
      <c r="S479" s="12"/>
      <c r="T479" s="12"/>
    </row>
    <row r="480" spans="19:20" x14ac:dyDescent="0.35">
      <c r="S480" s="12"/>
      <c r="T480" s="12"/>
    </row>
    <row r="481" spans="19:20" x14ac:dyDescent="0.35">
      <c r="S481" s="12"/>
      <c r="T481" s="12"/>
    </row>
    <row r="482" spans="19:20" x14ac:dyDescent="0.35">
      <c r="S482" s="12"/>
      <c r="T482" s="12"/>
    </row>
    <row r="483" spans="19:20" x14ac:dyDescent="0.35">
      <c r="S483" s="12"/>
      <c r="T483" s="12"/>
    </row>
    <row r="484" spans="19:20" x14ac:dyDescent="0.35">
      <c r="S484" s="12"/>
      <c r="T484" s="12"/>
    </row>
    <row r="485" spans="19:20" x14ac:dyDescent="0.35">
      <c r="S485" s="12"/>
      <c r="T485" s="12"/>
    </row>
    <row r="486" spans="19:20" x14ac:dyDescent="0.35">
      <c r="S486" s="12"/>
      <c r="T486" s="12"/>
    </row>
    <row r="487" spans="19:20" x14ac:dyDescent="0.35">
      <c r="S487" s="12"/>
      <c r="T487" s="12"/>
    </row>
    <row r="488" spans="19:20" x14ac:dyDescent="0.35">
      <c r="S488" s="12"/>
      <c r="T488" s="12"/>
    </row>
    <row r="489" spans="19:20" x14ac:dyDescent="0.35">
      <c r="S489" s="12"/>
      <c r="T489" s="12"/>
    </row>
    <row r="490" spans="19:20" x14ac:dyDescent="0.35">
      <c r="S490" s="12"/>
      <c r="T490" s="12"/>
    </row>
    <row r="491" spans="19:20" x14ac:dyDescent="0.35">
      <c r="S491" s="12"/>
      <c r="T491" s="12"/>
    </row>
    <row r="492" spans="19:20" x14ac:dyDescent="0.35">
      <c r="S492" s="12"/>
      <c r="T492" s="12"/>
    </row>
    <row r="493" spans="19:20" x14ac:dyDescent="0.35">
      <c r="S493" s="12"/>
      <c r="T493" s="12"/>
    </row>
    <row r="494" spans="19:20" x14ac:dyDescent="0.35">
      <c r="S494" s="12"/>
      <c r="T494" s="12"/>
    </row>
    <row r="495" spans="19:20" x14ac:dyDescent="0.35">
      <c r="S495" s="12"/>
      <c r="T495" s="12"/>
    </row>
    <row r="496" spans="19:20" x14ac:dyDescent="0.35">
      <c r="S496" s="12"/>
      <c r="T496" s="12"/>
    </row>
    <row r="497" spans="19:20" x14ac:dyDescent="0.35">
      <c r="S497" s="12"/>
      <c r="T497" s="12"/>
    </row>
    <row r="498" spans="19:20" x14ac:dyDescent="0.35">
      <c r="S498" s="12"/>
      <c r="T498" s="12"/>
    </row>
    <row r="499" spans="19:20" x14ac:dyDescent="0.35">
      <c r="S499" s="12"/>
      <c r="T499" s="12"/>
    </row>
    <row r="500" spans="19:20" x14ac:dyDescent="0.35">
      <c r="S500" s="12"/>
      <c r="T500" s="12"/>
    </row>
    <row r="501" spans="19:20" x14ac:dyDescent="0.35">
      <c r="S501" s="12"/>
      <c r="T501" s="12"/>
    </row>
    <row r="502" spans="19:20" x14ac:dyDescent="0.35">
      <c r="S502" s="12"/>
      <c r="T502" s="12"/>
    </row>
    <row r="503" spans="19:20" x14ac:dyDescent="0.35">
      <c r="S503" s="12"/>
      <c r="T503" s="12"/>
    </row>
    <row r="504" spans="19:20" x14ac:dyDescent="0.35">
      <c r="S504" s="12"/>
      <c r="T504" s="12"/>
    </row>
    <row r="505" spans="19:20" x14ac:dyDescent="0.35">
      <c r="S505" s="12"/>
      <c r="T505" s="12"/>
    </row>
    <row r="506" spans="19:20" x14ac:dyDescent="0.35">
      <c r="S506" s="12"/>
      <c r="T506" s="12"/>
    </row>
    <row r="507" spans="19:20" x14ac:dyDescent="0.35">
      <c r="S507" s="12"/>
      <c r="T507" s="12"/>
    </row>
    <row r="508" spans="19:20" x14ac:dyDescent="0.35">
      <c r="S508" s="12"/>
      <c r="T508" s="12"/>
    </row>
    <row r="509" spans="19:20" x14ac:dyDescent="0.35">
      <c r="S509" s="12"/>
      <c r="T509" s="12"/>
    </row>
    <row r="510" spans="19:20" x14ac:dyDescent="0.35">
      <c r="S510" s="12"/>
      <c r="T510" s="12"/>
    </row>
    <row r="511" spans="19:20" x14ac:dyDescent="0.35">
      <c r="S511" s="12"/>
      <c r="T511" s="12"/>
    </row>
    <row r="512" spans="19:20" x14ac:dyDescent="0.35">
      <c r="S512" s="12"/>
      <c r="T512" s="12"/>
    </row>
    <row r="513" spans="19:20" x14ac:dyDescent="0.35">
      <c r="S513" s="12"/>
      <c r="T513" s="12"/>
    </row>
    <row r="514" spans="19:20" x14ac:dyDescent="0.35">
      <c r="S514" s="12"/>
      <c r="T514" s="12"/>
    </row>
    <row r="515" spans="19:20" x14ac:dyDescent="0.35">
      <c r="S515" s="12"/>
      <c r="T515" s="12"/>
    </row>
    <row r="516" spans="19:20" x14ac:dyDescent="0.35">
      <c r="S516" s="12"/>
      <c r="T516" s="12"/>
    </row>
    <row r="517" spans="19:20" x14ac:dyDescent="0.35">
      <c r="S517" s="12"/>
      <c r="T517" s="12"/>
    </row>
    <row r="518" spans="19:20" x14ac:dyDescent="0.35">
      <c r="S518" s="12"/>
      <c r="T518" s="12"/>
    </row>
    <row r="519" spans="19:20" x14ac:dyDescent="0.35">
      <c r="S519" s="12"/>
      <c r="T519" s="12"/>
    </row>
    <row r="520" spans="19:20" x14ac:dyDescent="0.35">
      <c r="S520" s="12"/>
      <c r="T520" s="12"/>
    </row>
    <row r="521" spans="19:20" x14ac:dyDescent="0.35">
      <c r="S521" s="12"/>
      <c r="T521" s="12"/>
    </row>
    <row r="522" spans="19:20" x14ac:dyDescent="0.35">
      <c r="S522" s="12"/>
      <c r="T522" s="12"/>
    </row>
    <row r="523" spans="19:20" x14ac:dyDescent="0.35">
      <c r="S523" s="12"/>
      <c r="T523" s="12"/>
    </row>
    <row r="524" spans="19:20" x14ac:dyDescent="0.35">
      <c r="S524" s="12"/>
      <c r="T524" s="12"/>
    </row>
    <row r="525" spans="19:20" x14ac:dyDescent="0.35">
      <c r="S525" s="12"/>
      <c r="T525" s="12"/>
    </row>
    <row r="526" spans="19:20" x14ac:dyDescent="0.35">
      <c r="S526" s="12"/>
      <c r="T526" s="12"/>
    </row>
    <row r="527" spans="19:20" x14ac:dyDescent="0.35">
      <c r="S527" s="12"/>
      <c r="T527" s="12"/>
    </row>
    <row r="528" spans="19:20" x14ac:dyDescent="0.35">
      <c r="S528" s="12"/>
      <c r="T528" s="12"/>
    </row>
    <row r="529" spans="19:20" x14ac:dyDescent="0.35">
      <c r="S529" s="12"/>
      <c r="T529" s="12"/>
    </row>
    <row r="530" spans="19:20" x14ac:dyDescent="0.35">
      <c r="S530" s="12"/>
      <c r="T530" s="12"/>
    </row>
    <row r="531" spans="19:20" x14ac:dyDescent="0.35">
      <c r="S531" s="12"/>
      <c r="T531" s="12"/>
    </row>
    <row r="532" spans="19:20" x14ac:dyDescent="0.35">
      <c r="S532" s="12"/>
      <c r="T532" s="12"/>
    </row>
    <row r="533" spans="19:20" x14ac:dyDescent="0.35">
      <c r="S533" s="12"/>
      <c r="T533" s="12"/>
    </row>
    <row r="534" spans="19:20" x14ac:dyDescent="0.35">
      <c r="S534" s="12"/>
      <c r="T534" s="12"/>
    </row>
    <row r="535" spans="19:20" x14ac:dyDescent="0.35">
      <c r="S535" s="12"/>
      <c r="T535" s="12"/>
    </row>
    <row r="536" spans="19:20" x14ac:dyDescent="0.35">
      <c r="S536" s="12"/>
      <c r="T536" s="12"/>
    </row>
    <row r="537" spans="19:20" x14ac:dyDescent="0.35">
      <c r="S537" s="12"/>
      <c r="T537" s="12"/>
    </row>
    <row r="538" spans="19:20" x14ac:dyDescent="0.35">
      <c r="S538" s="12"/>
      <c r="T538" s="12"/>
    </row>
    <row r="539" spans="19:20" x14ac:dyDescent="0.35">
      <c r="S539" s="12"/>
      <c r="T539" s="12"/>
    </row>
    <row r="540" spans="19:20" x14ac:dyDescent="0.35">
      <c r="S540" s="12"/>
      <c r="T540" s="12"/>
    </row>
    <row r="541" spans="19:20" x14ac:dyDescent="0.35">
      <c r="S541" s="12"/>
      <c r="T541" s="12"/>
    </row>
    <row r="542" spans="19:20" x14ac:dyDescent="0.35">
      <c r="S542" s="12"/>
      <c r="T542" s="12"/>
    </row>
    <row r="543" spans="19:20" x14ac:dyDescent="0.35">
      <c r="S543" s="12"/>
      <c r="T543" s="12"/>
    </row>
    <row r="544" spans="19:20" x14ac:dyDescent="0.35">
      <c r="S544" s="12"/>
      <c r="T544" s="12"/>
    </row>
    <row r="545" spans="19:20" x14ac:dyDescent="0.35">
      <c r="S545" s="12"/>
      <c r="T545" s="12"/>
    </row>
    <row r="546" spans="19:20" x14ac:dyDescent="0.35">
      <c r="S546" s="12"/>
      <c r="T546" s="12"/>
    </row>
    <row r="547" spans="19:20" x14ac:dyDescent="0.35">
      <c r="S547" s="12"/>
      <c r="T547" s="12"/>
    </row>
    <row r="548" spans="19:20" x14ac:dyDescent="0.35">
      <c r="S548" s="12"/>
      <c r="T548" s="12"/>
    </row>
    <row r="549" spans="19:20" x14ac:dyDescent="0.35">
      <c r="S549" s="12"/>
      <c r="T549" s="12"/>
    </row>
    <row r="550" spans="19:20" x14ac:dyDescent="0.35">
      <c r="S550" s="12"/>
      <c r="T550" s="12"/>
    </row>
    <row r="551" spans="19:20" x14ac:dyDescent="0.35">
      <c r="S551" s="12"/>
      <c r="T551" s="12"/>
    </row>
    <row r="552" spans="19:20" x14ac:dyDescent="0.35">
      <c r="S552" s="12"/>
      <c r="T552" s="12"/>
    </row>
    <row r="553" spans="19:20" x14ac:dyDescent="0.35">
      <c r="S553" s="12"/>
      <c r="T553" s="12"/>
    </row>
    <row r="554" spans="19:20" x14ac:dyDescent="0.35">
      <c r="S554" s="12"/>
      <c r="T554" s="12"/>
    </row>
    <row r="555" spans="19:20" x14ac:dyDescent="0.35">
      <c r="S555" s="12"/>
      <c r="T555" s="12"/>
    </row>
    <row r="556" spans="19:20" x14ac:dyDescent="0.35">
      <c r="S556" s="12"/>
      <c r="T556" s="12"/>
    </row>
    <row r="557" spans="19:20" x14ac:dyDescent="0.35">
      <c r="S557" s="12"/>
      <c r="T557" s="12"/>
    </row>
    <row r="558" spans="19:20" x14ac:dyDescent="0.35">
      <c r="S558" s="12"/>
      <c r="T558" s="12"/>
    </row>
    <row r="559" spans="19:20" x14ac:dyDescent="0.35">
      <c r="S559" s="12"/>
      <c r="T559" s="12"/>
    </row>
    <row r="560" spans="19:20" x14ac:dyDescent="0.35">
      <c r="S560" s="12"/>
      <c r="T560" s="12"/>
    </row>
    <row r="561" spans="19:20" x14ac:dyDescent="0.35">
      <c r="S561" s="12"/>
      <c r="T561" s="12"/>
    </row>
    <row r="562" spans="19:20" x14ac:dyDescent="0.35">
      <c r="S562" s="12"/>
      <c r="T562" s="12"/>
    </row>
    <row r="563" spans="19:20" x14ac:dyDescent="0.35">
      <c r="S563" s="12"/>
      <c r="T563" s="12"/>
    </row>
    <row r="564" spans="19:20" x14ac:dyDescent="0.35">
      <c r="S564" s="12"/>
      <c r="T564" s="12"/>
    </row>
    <row r="565" spans="19:20" x14ac:dyDescent="0.35">
      <c r="S565" s="12"/>
      <c r="T565" s="12"/>
    </row>
    <row r="566" spans="19:20" x14ac:dyDescent="0.35">
      <c r="S566" s="12"/>
      <c r="T566" s="12"/>
    </row>
    <row r="567" spans="19:20" x14ac:dyDescent="0.35">
      <c r="S567" s="12"/>
      <c r="T567" s="12"/>
    </row>
    <row r="568" spans="19:20" x14ac:dyDescent="0.35">
      <c r="S568" s="12"/>
      <c r="T568" s="12"/>
    </row>
    <row r="569" spans="19:20" x14ac:dyDescent="0.35">
      <c r="S569" s="12"/>
      <c r="T569" s="12"/>
    </row>
    <row r="570" spans="19:20" x14ac:dyDescent="0.35">
      <c r="S570" s="12"/>
      <c r="T570" s="12"/>
    </row>
    <row r="571" spans="19:20" x14ac:dyDescent="0.35">
      <c r="S571" s="12"/>
      <c r="T571" s="12"/>
    </row>
    <row r="572" spans="19:20" x14ac:dyDescent="0.35">
      <c r="S572" s="12"/>
      <c r="T572" s="12"/>
    </row>
    <row r="573" spans="19:20" x14ac:dyDescent="0.35">
      <c r="S573" s="12"/>
      <c r="T573" s="12"/>
    </row>
    <row r="574" spans="19:20" x14ac:dyDescent="0.35">
      <c r="S574" s="12"/>
      <c r="T574" s="12"/>
    </row>
    <row r="575" spans="19:20" x14ac:dyDescent="0.35">
      <c r="S575" s="12"/>
      <c r="T575" s="12"/>
    </row>
    <row r="576" spans="19:20" x14ac:dyDescent="0.35">
      <c r="S576" s="12"/>
      <c r="T576" s="12"/>
    </row>
    <row r="577" spans="19:20" x14ac:dyDescent="0.35">
      <c r="S577" s="12"/>
      <c r="T577" s="12"/>
    </row>
    <row r="578" spans="19:20" x14ac:dyDescent="0.35">
      <c r="S578" s="12"/>
      <c r="T578" s="12"/>
    </row>
    <row r="579" spans="19:20" x14ac:dyDescent="0.35">
      <c r="S579" s="12"/>
      <c r="T579" s="12"/>
    </row>
    <row r="580" spans="19:20" x14ac:dyDescent="0.35">
      <c r="S580" s="12"/>
      <c r="T580" s="12"/>
    </row>
    <row r="581" spans="19:20" x14ac:dyDescent="0.35">
      <c r="S581" s="12"/>
      <c r="T581" s="12"/>
    </row>
    <row r="582" spans="19:20" x14ac:dyDescent="0.35">
      <c r="S582" s="12"/>
      <c r="T582" s="12"/>
    </row>
    <row r="583" spans="19:20" x14ac:dyDescent="0.35">
      <c r="S583" s="12"/>
      <c r="T583" s="12"/>
    </row>
    <row r="584" spans="19:20" x14ac:dyDescent="0.35">
      <c r="S584" s="12"/>
      <c r="T584" s="12"/>
    </row>
    <row r="585" spans="19:20" x14ac:dyDescent="0.35">
      <c r="S585" s="12"/>
      <c r="T585" s="12"/>
    </row>
    <row r="586" spans="19:20" x14ac:dyDescent="0.35">
      <c r="S586" s="12"/>
      <c r="T586" s="12"/>
    </row>
    <row r="587" spans="19:20" x14ac:dyDescent="0.35">
      <c r="S587" s="12"/>
      <c r="T587" s="12"/>
    </row>
    <row r="588" spans="19:20" x14ac:dyDescent="0.35">
      <c r="S588" s="12"/>
      <c r="T588" s="12"/>
    </row>
    <row r="589" spans="19:20" x14ac:dyDescent="0.35">
      <c r="S589" s="12"/>
      <c r="T589" s="12"/>
    </row>
    <row r="590" spans="19:20" x14ac:dyDescent="0.35">
      <c r="S590" s="12"/>
      <c r="T590" s="12"/>
    </row>
    <row r="591" spans="19:20" x14ac:dyDescent="0.35">
      <c r="S591" s="12"/>
      <c r="T591" s="12"/>
    </row>
    <row r="592" spans="19:20" x14ac:dyDescent="0.35">
      <c r="S592" s="12"/>
      <c r="T592" s="12"/>
    </row>
    <row r="593" spans="19:20" x14ac:dyDescent="0.35">
      <c r="S593" s="12"/>
      <c r="T593" s="12"/>
    </row>
    <row r="594" spans="19:20" x14ac:dyDescent="0.35">
      <c r="S594" s="12"/>
      <c r="T594" s="12"/>
    </row>
    <row r="595" spans="19:20" x14ac:dyDescent="0.35">
      <c r="S595" s="12"/>
      <c r="T595" s="12"/>
    </row>
    <row r="596" spans="19:20" x14ac:dyDescent="0.35">
      <c r="S596" s="12"/>
      <c r="T596" s="12"/>
    </row>
    <row r="597" spans="19:20" x14ac:dyDescent="0.35">
      <c r="S597" s="12"/>
      <c r="T597" s="12"/>
    </row>
    <row r="598" spans="19:20" x14ac:dyDescent="0.35">
      <c r="S598" s="12"/>
      <c r="T598" s="12"/>
    </row>
    <row r="599" spans="19:20" x14ac:dyDescent="0.35">
      <c r="S599" s="12"/>
      <c r="T599" s="12"/>
    </row>
    <row r="600" spans="19:20" x14ac:dyDescent="0.35">
      <c r="S600" s="12"/>
      <c r="T600" s="12"/>
    </row>
    <row r="601" spans="19:20" x14ac:dyDescent="0.35">
      <c r="S601" s="12"/>
      <c r="T601" s="12"/>
    </row>
    <row r="602" spans="19:20" x14ac:dyDescent="0.35">
      <c r="S602" s="12"/>
      <c r="T602" s="12"/>
    </row>
    <row r="603" spans="19:20" x14ac:dyDescent="0.35">
      <c r="S603" s="12"/>
      <c r="T603" s="12"/>
    </row>
    <row r="604" spans="19:20" x14ac:dyDescent="0.35">
      <c r="S604" s="12"/>
      <c r="T604" s="12"/>
    </row>
    <row r="605" spans="19:20" x14ac:dyDescent="0.35">
      <c r="S605" s="12"/>
      <c r="T605" s="12"/>
    </row>
    <row r="606" spans="19:20" x14ac:dyDescent="0.35">
      <c r="S606" s="12"/>
      <c r="T606" s="12"/>
    </row>
    <row r="607" spans="19:20" x14ac:dyDescent="0.35">
      <c r="S607" s="12"/>
      <c r="T607" s="12"/>
    </row>
    <row r="608" spans="19:20" x14ac:dyDescent="0.35">
      <c r="S608" s="12"/>
      <c r="T608" s="12"/>
    </row>
    <row r="609" spans="19:20" x14ac:dyDescent="0.35">
      <c r="S609" s="12"/>
      <c r="T609" s="12"/>
    </row>
    <row r="610" spans="19:20" x14ac:dyDescent="0.35">
      <c r="S610" s="12"/>
      <c r="T610" s="12"/>
    </row>
    <row r="611" spans="19:20" x14ac:dyDescent="0.35">
      <c r="S611" s="12"/>
      <c r="T611" s="12"/>
    </row>
    <row r="612" spans="19:20" x14ac:dyDescent="0.35">
      <c r="S612" s="12"/>
      <c r="T612" s="12"/>
    </row>
    <row r="613" spans="19:20" x14ac:dyDescent="0.35">
      <c r="S613" s="12"/>
      <c r="T613" s="12"/>
    </row>
    <row r="614" spans="19:20" x14ac:dyDescent="0.35">
      <c r="S614" s="12"/>
      <c r="T614" s="12"/>
    </row>
    <row r="615" spans="19:20" x14ac:dyDescent="0.35">
      <c r="S615" s="12"/>
      <c r="T615" s="12"/>
    </row>
    <row r="616" spans="19:20" x14ac:dyDescent="0.35">
      <c r="S616" s="12"/>
      <c r="T616" s="12"/>
    </row>
    <row r="617" spans="19:20" x14ac:dyDescent="0.35">
      <c r="S617" s="12"/>
      <c r="T617" s="12"/>
    </row>
    <row r="618" spans="19:20" x14ac:dyDescent="0.35">
      <c r="S618" s="12"/>
      <c r="T618" s="12"/>
    </row>
    <row r="619" spans="19:20" x14ac:dyDescent="0.35">
      <c r="S619" s="12"/>
      <c r="T619" s="12"/>
    </row>
    <row r="620" spans="19:20" x14ac:dyDescent="0.35">
      <c r="S620" s="12"/>
      <c r="T620" s="12"/>
    </row>
    <row r="621" spans="19:20" x14ac:dyDescent="0.35">
      <c r="S621" s="12"/>
      <c r="T621" s="12"/>
    </row>
    <row r="622" spans="19:20" x14ac:dyDescent="0.35">
      <c r="S622" s="12"/>
      <c r="T622" s="12"/>
    </row>
    <row r="623" spans="19:20" x14ac:dyDescent="0.35">
      <c r="S623" s="12"/>
      <c r="T623" s="12"/>
    </row>
    <row r="624" spans="19:20" x14ac:dyDescent="0.35">
      <c r="S624" s="12"/>
      <c r="T624" s="12"/>
    </row>
    <row r="625" spans="19:20" x14ac:dyDescent="0.35">
      <c r="S625" s="12"/>
      <c r="T625" s="12"/>
    </row>
    <row r="626" spans="19:20" x14ac:dyDescent="0.35">
      <c r="S626" s="12"/>
      <c r="T626" s="12"/>
    </row>
    <row r="627" spans="19:20" x14ac:dyDescent="0.35">
      <c r="S627" s="12"/>
      <c r="T627" s="12"/>
    </row>
    <row r="628" spans="19:20" x14ac:dyDescent="0.35">
      <c r="S628" s="12"/>
      <c r="T628" s="12"/>
    </row>
    <row r="629" spans="19:20" x14ac:dyDescent="0.35">
      <c r="S629" s="12"/>
      <c r="T629" s="12"/>
    </row>
    <row r="630" spans="19:20" x14ac:dyDescent="0.35">
      <c r="S630" s="12"/>
      <c r="T630" s="12"/>
    </row>
    <row r="631" spans="19:20" x14ac:dyDescent="0.35">
      <c r="S631" s="12"/>
      <c r="T631" s="12"/>
    </row>
    <row r="632" spans="19:20" x14ac:dyDescent="0.35">
      <c r="S632" s="12"/>
      <c r="T632" s="12"/>
    </row>
    <row r="633" spans="19:20" x14ac:dyDescent="0.35">
      <c r="S633" s="12"/>
      <c r="T633" s="12"/>
    </row>
    <row r="634" spans="19:20" x14ac:dyDescent="0.35">
      <c r="S634" s="12"/>
      <c r="T634" s="12"/>
    </row>
    <row r="635" spans="19:20" x14ac:dyDescent="0.35">
      <c r="S635" s="12"/>
      <c r="T635" s="12"/>
    </row>
    <row r="636" spans="19:20" x14ac:dyDescent="0.35">
      <c r="S636" s="12"/>
      <c r="T636" s="12"/>
    </row>
    <row r="637" spans="19:20" x14ac:dyDescent="0.35">
      <c r="S637" s="12"/>
      <c r="T637" s="12"/>
    </row>
    <row r="638" spans="19:20" x14ac:dyDescent="0.35">
      <c r="S638" s="12"/>
      <c r="T638" s="12"/>
    </row>
    <row r="639" spans="19:20" x14ac:dyDescent="0.35">
      <c r="S639" s="12"/>
      <c r="T639" s="12"/>
    </row>
    <row r="640" spans="19:20" x14ac:dyDescent="0.35">
      <c r="S640" s="12"/>
      <c r="T640" s="12"/>
    </row>
    <row r="641" spans="19:20" x14ac:dyDescent="0.35">
      <c r="S641" s="12"/>
      <c r="T641" s="12"/>
    </row>
    <row r="642" spans="19:20" x14ac:dyDescent="0.35">
      <c r="S642" s="12"/>
      <c r="T642" s="12"/>
    </row>
    <row r="643" spans="19:20" x14ac:dyDescent="0.35">
      <c r="S643" s="12"/>
      <c r="T643" s="12"/>
    </row>
    <row r="644" spans="19:20" x14ac:dyDescent="0.35">
      <c r="S644" s="12"/>
      <c r="T644" s="12"/>
    </row>
    <row r="645" spans="19:20" x14ac:dyDescent="0.35">
      <c r="S645" s="12"/>
      <c r="T645" s="12"/>
    </row>
    <row r="646" spans="19:20" x14ac:dyDescent="0.35">
      <c r="S646" s="12"/>
      <c r="T646" s="12"/>
    </row>
    <row r="647" spans="19:20" x14ac:dyDescent="0.35">
      <c r="S647" s="12"/>
      <c r="T647" s="12"/>
    </row>
    <row r="648" spans="19:20" x14ac:dyDescent="0.35">
      <c r="S648" s="12"/>
      <c r="T648" s="12"/>
    </row>
    <row r="649" spans="19:20" x14ac:dyDescent="0.35">
      <c r="S649" s="12"/>
      <c r="T649" s="12"/>
    </row>
    <row r="650" spans="19:20" x14ac:dyDescent="0.35">
      <c r="S650" s="12"/>
      <c r="T650" s="12"/>
    </row>
    <row r="651" spans="19:20" x14ac:dyDescent="0.35">
      <c r="S651" s="12"/>
      <c r="T651" s="12"/>
    </row>
    <row r="652" spans="19:20" x14ac:dyDescent="0.35">
      <c r="S652" s="12"/>
      <c r="T652" s="12"/>
    </row>
    <row r="653" spans="19:20" x14ac:dyDescent="0.35">
      <c r="S653" s="12"/>
      <c r="T653" s="12"/>
    </row>
    <row r="654" spans="19:20" x14ac:dyDescent="0.35">
      <c r="S654" s="12"/>
      <c r="T654" s="12"/>
    </row>
    <row r="655" spans="19:20" x14ac:dyDescent="0.35">
      <c r="S655" s="12"/>
      <c r="T655" s="12"/>
    </row>
    <row r="656" spans="19:20" x14ac:dyDescent="0.35">
      <c r="S656" s="12"/>
      <c r="T656" s="12"/>
    </row>
    <row r="657" spans="19:20" x14ac:dyDescent="0.35">
      <c r="S657" s="12"/>
      <c r="T657" s="12"/>
    </row>
    <row r="658" spans="19:20" x14ac:dyDescent="0.35">
      <c r="S658" s="12"/>
      <c r="T658" s="12"/>
    </row>
    <row r="659" spans="19:20" x14ac:dyDescent="0.35">
      <c r="S659" s="12"/>
      <c r="T659" s="12"/>
    </row>
    <row r="660" spans="19:20" x14ac:dyDescent="0.35">
      <c r="S660" s="12"/>
      <c r="T660" s="12"/>
    </row>
    <row r="661" spans="19:20" x14ac:dyDescent="0.35">
      <c r="S661" s="12"/>
      <c r="T661" s="12"/>
    </row>
    <row r="662" spans="19:20" x14ac:dyDescent="0.35">
      <c r="S662" s="12"/>
      <c r="T662" s="12"/>
    </row>
    <row r="663" spans="19:20" x14ac:dyDescent="0.35">
      <c r="S663" s="12"/>
      <c r="T663" s="12"/>
    </row>
    <row r="664" spans="19:20" x14ac:dyDescent="0.35">
      <c r="S664" s="12"/>
      <c r="T664" s="12"/>
    </row>
    <row r="665" spans="19:20" x14ac:dyDescent="0.35">
      <c r="S665" s="12"/>
      <c r="T665" s="12"/>
    </row>
    <row r="666" spans="19:20" x14ac:dyDescent="0.35">
      <c r="S666" s="12"/>
      <c r="T666" s="12"/>
    </row>
    <row r="667" spans="19:20" x14ac:dyDescent="0.35">
      <c r="S667" s="12"/>
      <c r="T667" s="12"/>
    </row>
    <row r="668" spans="19:20" x14ac:dyDescent="0.35">
      <c r="S668" s="12"/>
      <c r="T668" s="12"/>
    </row>
    <row r="669" spans="19:20" x14ac:dyDescent="0.35">
      <c r="S669" s="12"/>
      <c r="T669" s="12"/>
    </row>
    <row r="670" spans="19:20" x14ac:dyDescent="0.35">
      <c r="S670" s="12"/>
      <c r="T670" s="12"/>
    </row>
    <row r="671" spans="19:20" x14ac:dyDescent="0.35">
      <c r="S671" s="12"/>
      <c r="T671" s="12"/>
    </row>
    <row r="672" spans="19:20" x14ac:dyDescent="0.35">
      <c r="S672" s="12"/>
      <c r="T672" s="12"/>
    </row>
    <row r="673" spans="19:20" x14ac:dyDescent="0.35">
      <c r="S673" s="12"/>
      <c r="T673" s="12"/>
    </row>
    <row r="674" spans="19:20" x14ac:dyDescent="0.35">
      <c r="S674" s="12"/>
      <c r="T674" s="12"/>
    </row>
    <row r="675" spans="19:20" x14ac:dyDescent="0.35">
      <c r="S675" s="12"/>
      <c r="T675" s="12"/>
    </row>
    <row r="676" spans="19:20" x14ac:dyDescent="0.35">
      <c r="S676" s="12"/>
      <c r="T676" s="12"/>
    </row>
    <row r="677" spans="19:20" x14ac:dyDescent="0.35">
      <c r="S677" s="12"/>
      <c r="T677" s="12"/>
    </row>
    <row r="678" spans="19:20" x14ac:dyDescent="0.35">
      <c r="S678" s="12"/>
      <c r="T678" s="12"/>
    </row>
    <row r="679" spans="19:20" x14ac:dyDescent="0.35">
      <c r="S679" s="12"/>
      <c r="T679" s="12"/>
    </row>
    <row r="680" spans="19:20" x14ac:dyDescent="0.35">
      <c r="S680" s="12"/>
      <c r="T680" s="12"/>
    </row>
    <row r="681" spans="19:20" x14ac:dyDescent="0.35">
      <c r="S681" s="12"/>
      <c r="T681" s="12"/>
    </row>
    <row r="682" spans="19:20" x14ac:dyDescent="0.35">
      <c r="S682" s="12"/>
      <c r="T682" s="12"/>
    </row>
    <row r="683" spans="19:20" x14ac:dyDescent="0.35">
      <c r="S683" s="12"/>
      <c r="T683" s="12"/>
    </row>
    <row r="684" spans="19:20" x14ac:dyDescent="0.35">
      <c r="S684" s="12"/>
      <c r="T684" s="12"/>
    </row>
    <row r="685" spans="19:20" x14ac:dyDescent="0.35">
      <c r="S685" s="12"/>
      <c r="T685" s="12"/>
    </row>
    <row r="686" spans="19:20" x14ac:dyDescent="0.35">
      <c r="S686" s="12"/>
      <c r="T686" s="12"/>
    </row>
    <row r="687" spans="19:20" x14ac:dyDescent="0.35">
      <c r="S687" s="12"/>
      <c r="T687" s="12"/>
    </row>
    <row r="688" spans="19:20" x14ac:dyDescent="0.35">
      <c r="S688" s="12"/>
      <c r="T688" s="12"/>
    </row>
    <row r="689" spans="19:20" x14ac:dyDescent="0.35">
      <c r="S689" s="12"/>
      <c r="T689" s="12"/>
    </row>
    <row r="690" spans="19:20" x14ac:dyDescent="0.35">
      <c r="S690" s="12"/>
      <c r="T690" s="12"/>
    </row>
    <row r="691" spans="19:20" x14ac:dyDescent="0.35">
      <c r="S691" s="12"/>
      <c r="T691" s="12"/>
    </row>
    <row r="692" spans="19:20" x14ac:dyDescent="0.35">
      <c r="S692" s="12"/>
      <c r="T692" s="12"/>
    </row>
    <row r="693" spans="19:20" x14ac:dyDescent="0.35">
      <c r="S693" s="12"/>
      <c r="T693" s="12"/>
    </row>
    <row r="694" spans="19:20" x14ac:dyDescent="0.35">
      <c r="S694" s="12"/>
      <c r="T694" s="12"/>
    </row>
    <row r="695" spans="19:20" x14ac:dyDescent="0.35">
      <c r="S695" s="12"/>
      <c r="T695" s="12"/>
    </row>
    <row r="696" spans="19:20" x14ac:dyDescent="0.35">
      <c r="S696" s="12"/>
      <c r="T696" s="12"/>
    </row>
    <row r="697" spans="19:20" x14ac:dyDescent="0.35">
      <c r="S697" s="12"/>
      <c r="T697" s="12"/>
    </row>
    <row r="698" spans="19:20" x14ac:dyDescent="0.35">
      <c r="S698" s="12"/>
      <c r="T698" s="12"/>
    </row>
    <row r="699" spans="19:20" x14ac:dyDescent="0.35">
      <c r="S699" s="12"/>
      <c r="T699" s="12"/>
    </row>
    <row r="700" spans="19:20" x14ac:dyDescent="0.35">
      <c r="S700" s="12"/>
      <c r="T700" s="12"/>
    </row>
    <row r="701" spans="19:20" x14ac:dyDescent="0.35">
      <c r="S701" s="12"/>
      <c r="T701" s="12"/>
    </row>
    <row r="702" spans="19:20" x14ac:dyDescent="0.35">
      <c r="S702" s="12"/>
      <c r="T702" s="12"/>
    </row>
    <row r="703" spans="19:20" x14ac:dyDescent="0.35">
      <c r="S703" s="12"/>
      <c r="T703" s="12"/>
    </row>
    <row r="704" spans="19:20" x14ac:dyDescent="0.35">
      <c r="S704" s="12"/>
      <c r="T704" s="12"/>
    </row>
    <row r="705" spans="19:20" x14ac:dyDescent="0.35">
      <c r="S705" s="12"/>
      <c r="T705" s="12"/>
    </row>
    <row r="706" spans="19:20" x14ac:dyDescent="0.35">
      <c r="S706" s="12"/>
      <c r="T706" s="12"/>
    </row>
    <row r="707" spans="19:20" x14ac:dyDescent="0.35">
      <c r="S707" s="12"/>
      <c r="T707" s="12"/>
    </row>
    <row r="708" spans="19:20" x14ac:dyDescent="0.35">
      <c r="S708" s="12"/>
      <c r="T708" s="12"/>
    </row>
    <row r="709" spans="19:20" x14ac:dyDescent="0.35">
      <c r="S709" s="12"/>
      <c r="T709" s="12"/>
    </row>
    <row r="710" spans="19:20" x14ac:dyDescent="0.35">
      <c r="S710" s="12"/>
      <c r="T710" s="12"/>
    </row>
    <row r="711" spans="19:20" x14ac:dyDescent="0.35">
      <c r="S711" s="12"/>
      <c r="T711" s="12"/>
    </row>
    <row r="712" spans="19:20" x14ac:dyDescent="0.35">
      <c r="S712" s="12"/>
      <c r="T712" s="12"/>
    </row>
    <row r="713" spans="19:20" x14ac:dyDescent="0.35">
      <c r="S713" s="12"/>
      <c r="T713" s="12"/>
    </row>
    <row r="714" spans="19:20" x14ac:dyDescent="0.35">
      <c r="S714" s="12"/>
      <c r="T714" s="12"/>
    </row>
    <row r="715" spans="19:20" x14ac:dyDescent="0.35">
      <c r="S715" s="12"/>
      <c r="T715" s="12"/>
    </row>
    <row r="716" spans="19:20" x14ac:dyDescent="0.35">
      <c r="S716" s="12"/>
      <c r="T716" s="12"/>
    </row>
    <row r="717" spans="19:20" x14ac:dyDescent="0.35">
      <c r="S717" s="12"/>
      <c r="T717" s="12"/>
    </row>
    <row r="718" spans="19:20" x14ac:dyDescent="0.35">
      <c r="S718" s="12"/>
      <c r="T718" s="12"/>
    </row>
    <row r="719" spans="19:20" x14ac:dyDescent="0.35">
      <c r="S719" s="12"/>
      <c r="T719" s="12"/>
    </row>
    <row r="720" spans="19:20" x14ac:dyDescent="0.35">
      <c r="S720" s="12"/>
      <c r="T720" s="12"/>
    </row>
    <row r="721" spans="19:20" x14ac:dyDescent="0.35">
      <c r="S721" s="12"/>
      <c r="T721" s="12"/>
    </row>
    <row r="722" spans="19:20" x14ac:dyDescent="0.35">
      <c r="S722" s="12"/>
      <c r="T722" s="12"/>
    </row>
    <row r="723" spans="19:20" x14ac:dyDescent="0.35">
      <c r="S723" s="12"/>
      <c r="T723" s="12"/>
    </row>
    <row r="724" spans="19:20" x14ac:dyDescent="0.35">
      <c r="S724" s="12"/>
      <c r="T724" s="12"/>
    </row>
    <row r="725" spans="19:20" x14ac:dyDescent="0.35">
      <c r="S725" s="12"/>
      <c r="T725" s="12"/>
    </row>
    <row r="726" spans="19:20" x14ac:dyDescent="0.35">
      <c r="S726" s="12"/>
      <c r="T726" s="12"/>
    </row>
    <row r="727" spans="19:20" x14ac:dyDescent="0.35">
      <c r="S727" s="12"/>
      <c r="T727" s="12"/>
    </row>
    <row r="728" spans="19:20" x14ac:dyDescent="0.35">
      <c r="S728" s="12"/>
      <c r="T728" s="12"/>
    </row>
    <row r="729" spans="19:20" x14ac:dyDescent="0.35">
      <c r="S729" s="12"/>
      <c r="T729" s="12"/>
    </row>
    <row r="730" spans="19:20" x14ac:dyDescent="0.35">
      <c r="S730" s="12"/>
      <c r="T730" s="12"/>
    </row>
    <row r="731" spans="19:20" x14ac:dyDescent="0.35">
      <c r="S731" s="12"/>
      <c r="T731" s="12"/>
    </row>
    <row r="732" spans="19:20" x14ac:dyDescent="0.35">
      <c r="S732" s="12"/>
      <c r="T732" s="12"/>
    </row>
    <row r="733" spans="19:20" x14ac:dyDescent="0.35">
      <c r="S733" s="12"/>
      <c r="T733" s="12"/>
    </row>
    <row r="734" spans="19:20" x14ac:dyDescent="0.35">
      <c r="S734" s="12"/>
      <c r="T734" s="12"/>
    </row>
    <row r="735" spans="19:20" x14ac:dyDescent="0.35">
      <c r="S735" s="12"/>
      <c r="T735" s="12"/>
    </row>
    <row r="736" spans="19:20" x14ac:dyDescent="0.35">
      <c r="S736" s="12"/>
      <c r="T736" s="12"/>
    </row>
    <row r="737" spans="19:20" x14ac:dyDescent="0.35">
      <c r="S737" s="12"/>
      <c r="T737" s="12"/>
    </row>
    <row r="738" spans="19:20" x14ac:dyDescent="0.35">
      <c r="S738" s="12"/>
      <c r="T738" s="12"/>
    </row>
    <row r="739" spans="19:20" x14ac:dyDescent="0.35">
      <c r="S739" s="12"/>
      <c r="T739" s="12"/>
    </row>
    <row r="740" spans="19:20" x14ac:dyDescent="0.35">
      <c r="S740" s="12"/>
      <c r="T740" s="12"/>
    </row>
    <row r="741" spans="19:20" x14ac:dyDescent="0.35">
      <c r="S741" s="12"/>
      <c r="T741" s="12"/>
    </row>
    <row r="742" spans="19:20" x14ac:dyDescent="0.35">
      <c r="S742" s="12"/>
      <c r="T742" s="12"/>
    </row>
    <row r="743" spans="19:20" x14ac:dyDescent="0.35">
      <c r="S743" s="12"/>
      <c r="T743" s="12"/>
    </row>
    <row r="744" spans="19:20" x14ac:dyDescent="0.35">
      <c r="S744" s="12"/>
      <c r="T744" s="12"/>
    </row>
    <row r="745" spans="19:20" x14ac:dyDescent="0.35">
      <c r="S745" s="12"/>
      <c r="T745" s="12"/>
    </row>
    <row r="746" spans="19:20" x14ac:dyDescent="0.35">
      <c r="S746" s="12"/>
      <c r="T746" s="12"/>
    </row>
    <row r="747" spans="19:20" x14ac:dyDescent="0.35">
      <c r="S747" s="12"/>
      <c r="T747" s="12"/>
    </row>
    <row r="748" spans="19:20" x14ac:dyDescent="0.35">
      <c r="S748" s="12"/>
      <c r="T748" s="12"/>
    </row>
    <row r="749" spans="19:20" x14ac:dyDescent="0.35">
      <c r="S749" s="12"/>
      <c r="T749" s="12"/>
    </row>
    <row r="750" spans="19:20" x14ac:dyDescent="0.35">
      <c r="S750" s="12"/>
      <c r="T750" s="12"/>
    </row>
    <row r="751" spans="19:20" x14ac:dyDescent="0.35">
      <c r="S751" s="12"/>
      <c r="T751" s="12"/>
    </row>
    <row r="752" spans="19:20" x14ac:dyDescent="0.35">
      <c r="S752" s="12"/>
      <c r="T752" s="12"/>
    </row>
    <row r="753" spans="19:20" x14ac:dyDescent="0.35">
      <c r="S753" s="12"/>
      <c r="T753" s="12"/>
    </row>
    <row r="754" spans="19:20" x14ac:dyDescent="0.35">
      <c r="S754" s="12"/>
      <c r="T754" s="12"/>
    </row>
    <row r="755" spans="19:20" x14ac:dyDescent="0.35">
      <c r="S755" s="12"/>
      <c r="T755" s="12"/>
    </row>
    <row r="756" spans="19:20" x14ac:dyDescent="0.35">
      <c r="S756" s="12"/>
      <c r="T756" s="12"/>
    </row>
    <row r="757" spans="19:20" x14ac:dyDescent="0.35">
      <c r="S757" s="12"/>
      <c r="T757" s="12"/>
    </row>
    <row r="758" spans="19:20" x14ac:dyDescent="0.35">
      <c r="S758" s="12"/>
      <c r="T758" s="12"/>
    </row>
    <row r="759" spans="19:20" x14ac:dyDescent="0.35">
      <c r="S759" s="12"/>
      <c r="T759" s="12"/>
    </row>
    <row r="760" spans="19:20" x14ac:dyDescent="0.35">
      <c r="S760" s="12"/>
      <c r="T760" s="12"/>
    </row>
    <row r="761" spans="19:20" x14ac:dyDescent="0.35">
      <c r="S761" s="12"/>
      <c r="T761" s="12"/>
    </row>
    <row r="762" spans="19:20" x14ac:dyDescent="0.35">
      <c r="S762" s="12"/>
      <c r="T762" s="12"/>
    </row>
    <row r="763" spans="19:20" x14ac:dyDescent="0.35">
      <c r="S763" s="12"/>
      <c r="T763" s="12"/>
    </row>
    <row r="764" spans="19:20" x14ac:dyDescent="0.35">
      <c r="S764" s="12"/>
      <c r="T764" s="12"/>
    </row>
    <row r="765" spans="19:20" x14ac:dyDescent="0.35">
      <c r="S765" s="12"/>
      <c r="T765" s="12"/>
    </row>
    <row r="766" spans="19:20" x14ac:dyDescent="0.35">
      <c r="S766" s="12"/>
      <c r="T766" s="12"/>
    </row>
    <row r="767" spans="19:20" x14ac:dyDescent="0.35">
      <c r="S767" s="12"/>
      <c r="T767" s="12"/>
    </row>
    <row r="768" spans="19:20" x14ac:dyDescent="0.35">
      <c r="S768" s="12"/>
      <c r="T768" s="12"/>
    </row>
    <row r="769" spans="19:20" x14ac:dyDescent="0.35">
      <c r="S769" s="12"/>
      <c r="T769" s="12"/>
    </row>
    <row r="770" spans="19:20" x14ac:dyDescent="0.35">
      <c r="S770" s="12"/>
      <c r="T770" s="12"/>
    </row>
    <row r="771" spans="19:20" x14ac:dyDescent="0.35">
      <c r="S771" s="12"/>
      <c r="T771" s="12"/>
    </row>
    <row r="772" spans="19:20" x14ac:dyDescent="0.35">
      <c r="S772" s="12"/>
      <c r="T772" s="12"/>
    </row>
    <row r="773" spans="19:20" x14ac:dyDescent="0.35">
      <c r="S773" s="12"/>
      <c r="T773" s="12"/>
    </row>
    <row r="774" spans="19:20" x14ac:dyDescent="0.35">
      <c r="S774" s="12"/>
      <c r="T774" s="12"/>
    </row>
    <row r="775" spans="19:20" x14ac:dyDescent="0.35">
      <c r="S775" s="12"/>
      <c r="T775" s="12"/>
    </row>
    <row r="776" spans="19:20" x14ac:dyDescent="0.35">
      <c r="S776" s="12"/>
      <c r="T776" s="12"/>
    </row>
    <row r="777" spans="19:20" x14ac:dyDescent="0.35">
      <c r="S777" s="12"/>
      <c r="T777" s="12"/>
    </row>
    <row r="778" spans="19:20" x14ac:dyDescent="0.35">
      <c r="S778" s="12"/>
      <c r="T778" s="12"/>
    </row>
    <row r="779" spans="19:20" x14ac:dyDescent="0.35">
      <c r="S779" s="12"/>
      <c r="T779" s="12"/>
    </row>
    <row r="780" spans="19:20" x14ac:dyDescent="0.35">
      <c r="S780" s="12"/>
      <c r="T780" s="12"/>
    </row>
    <row r="781" spans="19:20" x14ac:dyDescent="0.35">
      <c r="S781" s="12"/>
      <c r="T781" s="12"/>
    </row>
    <row r="782" spans="19:20" x14ac:dyDescent="0.35">
      <c r="S782" s="12"/>
      <c r="T782" s="12"/>
    </row>
    <row r="783" spans="19:20" x14ac:dyDescent="0.35">
      <c r="S783" s="12"/>
      <c r="T783" s="12"/>
    </row>
    <row r="784" spans="19:20" x14ac:dyDescent="0.35">
      <c r="S784" s="12"/>
      <c r="T784" s="12"/>
    </row>
    <row r="785" spans="19:20" x14ac:dyDescent="0.35">
      <c r="S785" s="12"/>
      <c r="T785" s="12"/>
    </row>
    <row r="786" spans="19:20" x14ac:dyDescent="0.35">
      <c r="S786" s="12"/>
      <c r="T786" s="12"/>
    </row>
    <row r="787" spans="19:20" x14ac:dyDescent="0.35">
      <c r="S787" s="12"/>
      <c r="T787" s="12"/>
    </row>
    <row r="788" spans="19:20" x14ac:dyDescent="0.35">
      <c r="S788" s="12"/>
      <c r="T788" s="12"/>
    </row>
    <row r="789" spans="19:20" x14ac:dyDescent="0.35">
      <c r="S789" s="12"/>
      <c r="T789" s="12"/>
    </row>
    <row r="790" spans="19:20" x14ac:dyDescent="0.35">
      <c r="S790" s="12"/>
      <c r="T790" s="12"/>
    </row>
    <row r="791" spans="19:20" x14ac:dyDescent="0.35">
      <c r="S791" s="12"/>
      <c r="T791" s="12"/>
    </row>
    <row r="792" spans="19:20" x14ac:dyDescent="0.35">
      <c r="S792" s="12"/>
      <c r="T792" s="12"/>
    </row>
    <row r="793" spans="19:20" x14ac:dyDescent="0.35">
      <c r="S793" s="12"/>
      <c r="T793" s="12"/>
    </row>
    <row r="794" spans="19:20" x14ac:dyDescent="0.35">
      <c r="S794" s="12"/>
      <c r="T794" s="12"/>
    </row>
    <row r="795" spans="19:20" x14ac:dyDescent="0.35">
      <c r="S795" s="12"/>
      <c r="T795" s="12"/>
    </row>
    <row r="796" spans="19:20" x14ac:dyDescent="0.35">
      <c r="S796" s="12"/>
      <c r="T796" s="12"/>
    </row>
    <row r="797" spans="19:20" x14ac:dyDescent="0.35">
      <c r="S797" s="12"/>
      <c r="T797" s="12"/>
    </row>
    <row r="798" spans="19:20" x14ac:dyDescent="0.35">
      <c r="S798" s="12"/>
      <c r="T798" s="12"/>
    </row>
    <row r="799" spans="19:20" x14ac:dyDescent="0.35">
      <c r="S799" s="12"/>
      <c r="T799" s="12"/>
    </row>
    <row r="800" spans="19:20" x14ac:dyDescent="0.35">
      <c r="S800" s="12"/>
      <c r="T800" s="12"/>
    </row>
    <row r="801" spans="19:20" x14ac:dyDescent="0.35">
      <c r="S801" s="12"/>
      <c r="T801" s="12"/>
    </row>
    <row r="802" spans="19:20" x14ac:dyDescent="0.35">
      <c r="S802" s="12"/>
      <c r="T802" s="12"/>
    </row>
    <row r="803" spans="19:20" x14ac:dyDescent="0.35">
      <c r="S803" s="12"/>
      <c r="T803" s="12"/>
    </row>
    <row r="804" spans="19:20" x14ac:dyDescent="0.35">
      <c r="S804" s="12"/>
      <c r="T804" s="12"/>
    </row>
    <row r="805" spans="19:20" x14ac:dyDescent="0.35">
      <c r="S805" s="12"/>
      <c r="T805" s="12"/>
    </row>
    <row r="806" spans="19:20" x14ac:dyDescent="0.35">
      <c r="S806" s="12"/>
      <c r="T806" s="12"/>
    </row>
    <row r="807" spans="19:20" x14ac:dyDescent="0.35">
      <c r="S807" s="12"/>
      <c r="T807" s="12"/>
    </row>
    <row r="808" spans="19:20" x14ac:dyDescent="0.35">
      <c r="S808" s="12"/>
      <c r="T808" s="12"/>
    </row>
    <row r="809" spans="19:20" x14ac:dyDescent="0.35">
      <c r="S809" s="12"/>
      <c r="T809" s="12"/>
    </row>
    <row r="810" spans="19:20" x14ac:dyDescent="0.35">
      <c r="S810" s="12"/>
      <c r="T810" s="12"/>
    </row>
    <row r="811" spans="19:20" x14ac:dyDescent="0.35">
      <c r="S811" s="12"/>
      <c r="T811" s="12"/>
    </row>
    <row r="812" spans="19:20" x14ac:dyDescent="0.35">
      <c r="S812" s="12"/>
      <c r="T812" s="12"/>
    </row>
    <row r="813" spans="19:20" x14ac:dyDescent="0.35">
      <c r="S813" s="12"/>
      <c r="T813" s="12"/>
    </row>
    <row r="814" spans="19:20" x14ac:dyDescent="0.35">
      <c r="S814" s="12"/>
      <c r="T814" s="12"/>
    </row>
    <row r="815" spans="19:20" x14ac:dyDescent="0.35">
      <c r="S815" s="12"/>
      <c r="T815" s="12"/>
    </row>
    <row r="816" spans="19:20" x14ac:dyDescent="0.35">
      <c r="S816" s="12"/>
      <c r="T816" s="12"/>
    </row>
    <row r="817" spans="19:20" x14ac:dyDescent="0.35">
      <c r="S817" s="12"/>
      <c r="T817" s="12"/>
    </row>
    <row r="818" spans="19:20" x14ac:dyDescent="0.35">
      <c r="S818" s="12"/>
      <c r="T818" s="12"/>
    </row>
    <row r="819" spans="19:20" x14ac:dyDescent="0.35">
      <c r="S819" s="12"/>
      <c r="T819" s="12"/>
    </row>
    <row r="820" spans="19:20" x14ac:dyDescent="0.35">
      <c r="S820" s="12"/>
      <c r="T820" s="12"/>
    </row>
    <row r="821" spans="19:20" x14ac:dyDescent="0.35">
      <c r="S821" s="12"/>
      <c r="T821" s="12"/>
    </row>
    <row r="822" spans="19:20" x14ac:dyDescent="0.35">
      <c r="S822" s="12"/>
      <c r="T822" s="12"/>
    </row>
    <row r="823" spans="19:20" x14ac:dyDescent="0.35">
      <c r="S823" s="12"/>
      <c r="T823" s="12"/>
    </row>
    <row r="824" spans="19:20" x14ac:dyDescent="0.35">
      <c r="S824" s="12"/>
      <c r="T824" s="12"/>
    </row>
    <row r="825" spans="19:20" x14ac:dyDescent="0.35">
      <c r="S825" s="12"/>
      <c r="T825" s="12"/>
    </row>
    <row r="826" spans="19:20" x14ac:dyDescent="0.35">
      <c r="S826" s="12"/>
      <c r="T826" s="12"/>
    </row>
    <row r="827" spans="19:20" x14ac:dyDescent="0.35">
      <c r="S827" s="12"/>
      <c r="T827" s="12"/>
    </row>
    <row r="828" spans="19:20" x14ac:dyDescent="0.35">
      <c r="S828" s="12"/>
      <c r="T828" s="12"/>
    </row>
    <row r="829" spans="19:20" x14ac:dyDescent="0.35">
      <c r="S829" s="12"/>
      <c r="T829" s="12"/>
    </row>
    <row r="830" spans="19:20" x14ac:dyDescent="0.35">
      <c r="S830" s="12"/>
      <c r="T830" s="12"/>
    </row>
    <row r="831" spans="19:20" x14ac:dyDescent="0.35">
      <c r="S831" s="12"/>
      <c r="T831" s="12"/>
    </row>
    <row r="832" spans="19:20" x14ac:dyDescent="0.35">
      <c r="S832" s="12"/>
      <c r="T832" s="12"/>
    </row>
    <row r="833" spans="19:20" x14ac:dyDescent="0.35">
      <c r="S833" s="12"/>
      <c r="T833" s="12"/>
    </row>
    <row r="834" spans="19:20" x14ac:dyDescent="0.35">
      <c r="S834" s="12"/>
      <c r="T834" s="12"/>
    </row>
    <row r="835" spans="19:20" x14ac:dyDescent="0.35">
      <c r="S835" s="12"/>
      <c r="T835" s="12"/>
    </row>
    <row r="836" spans="19:20" x14ac:dyDescent="0.35">
      <c r="S836" s="12"/>
      <c r="T836" s="12"/>
    </row>
    <row r="837" spans="19:20" x14ac:dyDescent="0.35">
      <c r="S837" s="12"/>
      <c r="T837" s="12"/>
    </row>
    <row r="838" spans="19:20" x14ac:dyDescent="0.35">
      <c r="S838" s="12"/>
      <c r="T838" s="12"/>
    </row>
    <row r="839" spans="19:20" x14ac:dyDescent="0.35">
      <c r="S839" s="12"/>
      <c r="T839" s="12"/>
    </row>
    <row r="840" spans="19:20" x14ac:dyDescent="0.35">
      <c r="S840" s="12"/>
      <c r="T840" s="12"/>
    </row>
    <row r="841" spans="19:20" x14ac:dyDescent="0.35">
      <c r="S841" s="12"/>
      <c r="T841" s="12"/>
    </row>
    <row r="842" spans="19:20" x14ac:dyDescent="0.35">
      <c r="S842" s="12"/>
      <c r="T842" s="12"/>
    </row>
    <row r="843" spans="19:20" x14ac:dyDescent="0.35">
      <c r="S843" s="12"/>
      <c r="T843" s="12"/>
    </row>
    <row r="844" spans="19:20" x14ac:dyDescent="0.35">
      <c r="S844" s="12"/>
      <c r="T844" s="12"/>
    </row>
    <row r="845" spans="19:20" x14ac:dyDescent="0.35">
      <c r="S845" s="12"/>
      <c r="T845" s="12"/>
    </row>
    <row r="846" spans="19:20" x14ac:dyDescent="0.35">
      <c r="S846" s="12"/>
      <c r="T846" s="12"/>
    </row>
    <row r="847" spans="19:20" x14ac:dyDescent="0.35">
      <c r="S847" s="12"/>
      <c r="T847" s="12"/>
    </row>
    <row r="848" spans="19:20" x14ac:dyDescent="0.35">
      <c r="S848" s="12"/>
      <c r="T848" s="12"/>
    </row>
    <row r="849" spans="19:20" x14ac:dyDescent="0.35">
      <c r="S849" s="12"/>
      <c r="T849" s="12"/>
    </row>
    <row r="850" spans="19:20" x14ac:dyDescent="0.35">
      <c r="S850" s="12"/>
      <c r="T850" s="12"/>
    </row>
    <row r="851" spans="19:20" x14ac:dyDescent="0.35">
      <c r="S851" s="12"/>
      <c r="T851" s="12"/>
    </row>
    <row r="852" spans="19:20" x14ac:dyDescent="0.35">
      <c r="S852" s="12"/>
      <c r="T852" s="12"/>
    </row>
    <row r="853" spans="19:20" x14ac:dyDescent="0.35">
      <c r="S853" s="12"/>
      <c r="T853" s="12"/>
    </row>
    <row r="854" spans="19:20" x14ac:dyDescent="0.35">
      <c r="S854" s="12"/>
      <c r="T854" s="12"/>
    </row>
    <row r="855" spans="19:20" x14ac:dyDescent="0.35">
      <c r="S855" s="12"/>
      <c r="T855" s="12"/>
    </row>
    <row r="856" spans="19:20" x14ac:dyDescent="0.35">
      <c r="S856" s="12"/>
      <c r="T856" s="12"/>
    </row>
    <row r="857" spans="19:20" x14ac:dyDescent="0.35">
      <c r="S857" s="12"/>
      <c r="T857" s="12"/>
    </row>
    <row r="858" spans="19:20" x14ac:dyDescent="0.35">
      <c r="S858" s="12"/>
      <c r="T858" s="12"/>
    </row>
    <row r="859" spans="19:20" x14ac:dyDescent="0.35">
      <c r="S859" s="12"/>
      <c r="T859" s="12"/>
    </row>
    <row r="860" spans="19:20" x14ac:dyDescent="0.35">
      <c r="S860" s="12"/>
      <c r="T860" s="12"/>
    </row>
    <row r="861" spans="19:20" x14ac:dyDescent="0.35">
      <c r="S861" s="12"/>
      <c r="T861" s="12"/>
    </row>
    <row r="862" spans="19:20" x14ac:dyDescent="0.35">
      <c r="S862" s="12"/>
      <c r="T862" s="12"/>
    </row>
    <row r="863" spans="19:20" x14ac:dyDescent="0.35">
      <c r="S863" s="12"/>
      <c r="T863" s="12"/>
    </row>
    <row r="864" spans="19:20" x14ac:dyDescent="0.35">
      <c r="S864" s="12"/>
      <c r="T864" s="12"/>
    </row>
    <row r="865" spans="19:20" x14ac:dyDescent="0.35">
      <c r="S865" s="12"/>
      <c r="T865" s="12"/>
    </row>
    <row r="866" spans="19:20" x14ac:dyDescent="0.35">
      <c r="S866" s="12"/>
      <c r="T866" s="12"/>
    </row>
    <row r="867" spans="19:20" x14ac:dyDescent="0.35">
      <c r="S867" s="12"/>
      <c r="T867" s="12"/>
    </row>
    <row r="868" spans="19:20" x14ac:dyDescent="0.35">
      <c r="S868" s="12"/>
      <c r="T868" s="12"/>
    </row>
    <row r="869" spans="19:20" x14ac:dyDescent="0.35">
      <c r="S869" s="12"/>
      <c r="T869" s="12"/>
    </row>
    <row r="870" spans="19:20" x14ac:dyDescent="0.35">
      <c r="S870" s="12"/>
      <c r="T870" s="12"/>
    </row>
    <row r="871" spans="19:20" x14ac:dyDescent="0.35">
      <c r="S871" s="12"/>
      <c r="T871" s="12"/>
    </row>
    <row r="872" spans="19:20" x14ac:dyDescent="0.35">
      <c r="S872" s="12"/>
      <c r="T872" s="12"/>
    </row>
    <row r="873" spans="19:20" x14ac:dyDescent="0.35">
      <c r="S873" s="12"/>
      <c r="T873" s="12"/>
    </row>
    <row r="874" spans="19:20" x14ac:dyDescent="0.35">
      <c r="S874" s="12"/>
      <c r="T874" s="12"/>
    </row>
    <row r="875" spans="19:20" x14ac:dyDescent="0.35">
      <c r="S875" s="12"/>
      <c r="T875" s="12"/>
    </row>
    <row r="876" spans="19:20" x14ac:dyDescent="0.35">
      <c r="S876" s="12"/>
      <c r="T876" s="12"/>
    </row>
    <row r="877" spans="19:20" x14ac:dyDescent="0.35">
      <c r="S877" s="12"/>
      <c r="T877" s="12"/>
    </row>
    <row r="878" spans="19:20" x14ac:dyDescent="0.35">
      <c r="S878" s="12"/>
      <c r="T878" s="12"/>
    </row>
    <row r="879" spans="19:20" x14ac:dyDescent="0.35">
      <c r="S879" s="12"/>
      <c r="T879" s="12"/>
    </row>
    <row r="880" spans="19:20" x14ac:dyDescent="0.35">
      <c r="S880" s="12"/>
      <c r="T880" s="12"/>
    </row>
    <row r="881" spans="19:20" x14ac:dyDescent="0.35">
      <c r="S881" s="12"/>
      <c r="T881" s="12"/>
    </row>
    <row r="882" spans="19:20" x14ac:dyDescent="0.35">
      <c r="S882" s="12"/>
      <c r="T882" s="12"/>
    </row>
    <row r="883" spans="19:20" x14ac:dyDescent="0.35">
      <c r="S883" s="12"/>
      <c r="T883" s="12"/>
    </row>
    <row r="884" spans="19:20" x14ac:dyDescent="0.35">
      <c r="S884" s="12"/>
      <c r="T884" s="12"/>
    </row>
    <row r="885" spans="19:20" x14ac:dyDescent="0.35">
      <c r="S885" s="12"/>
      <c r="T885" s="12"/>
    </row>
    <row r="886" spans="19:20" x14ac:dyDescent="0.35">
      <c r="S886" s="12"/>
      <c r="T886" s="12"/>
    </row>
    <row r="887" spans="19:20" x14ac:dyDescent="0.35">
      <c r="S887" s="12"/>
      <c r="T887" s="12"/>
    </row>
    <row r="888" spans="19:20" x14ac:dyDescent="0.35">
      <c r="S888" s="12"/>
      <c r="T888" s="12"/>
    </row>
    <row r="889" spans="19:20" x14ac:dyDescent="0.35">
      <c r="S889" s="12"/>
      <c r="T889" s="12"/>
    </row>
    <row r="890" spans="19:20" x14ac:dyDescent="0.35">
      <c r="S890" s="12"/>
      <c r="T890" s="12"/>
    </row>
    <row r="891" spans="19:20" x14ac:dyDescent="0.35">
      <c r="S891" s="12"/>
      <c r="T891" s="12"/>
    </row>
    <row r="892" spans="19:20" x14ac:dyDescent="0.35">
      <c r="S892" s="12"/>
      <c r="T892" s="12"/>
    </row>
    <row r="893" spans="19:20" x14ac:dyDescent="0.35">
      <c r="S893" s="12"/>
      <c r="T893" s="12"/>
    </row>
    <row r="894" spans="19:20" x14ac:dyDescent="0.35">
      <c r="S894" s="12"/>
      <c r="T894" s="12"/>
    </row>
    <row r="895" spans="19:20" x14ac:dyDescent="0.35">
      <c r="S895" s="12"/>
      <c r="T895" s="12"/>
    </row>
    <row r="896" spans="19:20" x14ac:dyDescent="0.35">
      <c r="S896" s="12"/>
      <c r="T896" s="12"/>
    </row>
    <row r="897" spans="19:20" x14ac:dyDescent="0.35">
      <c r="S897" s="12"/>
      <c r="T897" s="12"/>
    </row>
    <row r="898" spans="19:20" x14ac:dyDescent="0.35">
      <c r="S898" s="12"/>
      <c r="T898" s="12"/>
    </row>
    <row r="899" spans="19:20" x14ac:dyDescent="0.35">
      <c r="S899" s="12"/>
      <c r="T899" s="12"/>
    </row>
    <row r="900" spans="19:20" x14ac:dyDescent="0.35">
      <c r="S900" s="12"/>
      <c r="T900" s="12"/>
    </row>
    <row r="901" spans="19:20" x14ac:dyDescent="0.35">
      <c r="S901" s="12"/>
      <c r="T901" s="12"/>
    </row>
    <row r="902" spans="19:20" x14ac:dyDescent="0.35">
      <c r="S902" s="12"/>
      <c r="T902" s="12"/>
    </row>
    <row r="903" spans="19:20" x14ac:dyDescent="0.35">
      <c r="S903" s="12"/>
      <c r="T903" s="12"/>
    </row>
    <row r="904" spans="19:20" x14ac:dyDescent="0.35">
      <c r="S904" s="12"/>
      <c r="T904" s="12"/>
    </row>
    <row r="905" spans="19:20" x14ac:dyDescent="0.35">
      <c r="S905" s="12"/>
      <c r="T905" s="12"/>
    </row>
    <row r="906" spans="19:20" x14ac:dyDescent="0.35">
      <c r="S906" s="12"/>
      <c r="T906" s="12"/>
    </row>
    <row r="907" spans="19:20" x14ac:dyDescent="0.35">
      <c r="S907" s="12"/>
      <c r="T907" s="12"/>
    </row>
    <row r="908" spans="19:20" x14ac:dyDescent="0.35">
      <c r="S908" s="12"/>
      <c r="T908" s="12"/>
    </row>
    <row r="909" spans="19:20" x14ac:dyDescent="0.35">
      <c r="S909" s="12"/>
      <c r="T909" s="12"/>
    </row>
    <row r="910" spans="19:20" x14ac:dyDescent="0.35">
      <c r="S910" s="12"/>
      <c r="T910" s="12"/>
    </row>
    <row r="911" spans="19:20" x14ac:dyDescent="0.35">
      <c r="S911" s="12"/>
      <c r="T911" s="12"/>
    </row>
    <row r="912" spans="19:20" x14ac:dyDescent="0.35">
      <c r="S912" s="12"/>
      <c r="T912" s="12"/>
    </row>
    <row r="913" spans="19:20" x14ac:dyDescent="0.35">
      <c r="S913" s="12"/>
      <c r="T913" s="12"/>
    </row>
    <row r="914" spans="19:20" x14ac:dyDescent="0.35">
      <c r="S914" s="12"/>
      <c r="T914" s="12"/>
    </row>
    <row r="915" spans="19:20" x14ac:dyDescent="0.35">
      <c r="S915" s="12"/>
      <c r="T915" s="12"/>
    </row>
    <row r="916" spans="19:20" x14ac:dyDescent="0.35">
      <c r="S916" s="12"/>
      <c r="T916" s="12"/>
    </row>
    <row r="917" spans="19:20" x14ac:dyDescent="0.35">
      <c r="S917" s="12"/>
      <c r="T917" s="12"/>
    </row>
    <row r="918" spans="19:20" x14ac:dyDescent="0.35">
      <c r="S918" s="12"/>
      <c r="T918" s="12"/>
    </row>
    <row r="919" spans="19:20" x14ac:dyDescent="0.35">
      <c r="S919" s="12"/>
      <c r="T919" s="12"/>
    </row>
    <row r="920" spans="19:20" x14ac:dyDescent="0.35">
      <c r="S920" s="12"/>
      <c r="T920" s="12"/>
    </row>
    <row r="921" spans="19:20" x14ac:dyDescent="0.35">
      <c r="S921" s="12"/>
      <c r="T921" s="12"/>
    </row>
    <row r="922" spans="19:20" x14ac:dyDescent="0.35">
      <c r="S922" s="12"/>
      <c r="T922" s="12"/>
    </row>
    <row r="923" spans="19:20" x14ac:dyDescent="0.35">
      <c r="S923" s="12"/>
      <c r="T923" s="12"/>
    </row>
    <row r="924" spans="19:20" x14ac:dyDescent="0.35">
      <c r="S924" s="12"/>
      <c r="T924" s="12"/>
    </row>
    <row r="925" spans="19:20" x14ac:dyDescent="0.35">
      <c r="S925" s="12"/>
      <c r="T925" s="12"/>
    </row>
    <row r="926" spans="19:20" x14ac:dyDescent="0.35">
      <c r="S926" s="12"/>
      <c r="T926" s="12"/>
    </row>
    <row r="927" spans="19:20" x14ac:dyDescent="0.35">
      <c r="S927" s="12"/>
      <c r="T927" s="12"/>
    </row>
    <row r="928" spans="19:20" x14ac:dyDescent="0.35">
      <c r="S928" s="12"/>
      <c r="T928" s="12"/>
    </row>
    <row r="929" spans="19:20" x14ac:dyDescent="0.35">
      <c r="S929" s="12"/>
      <c r="T929" s="12"/>
    </row>
    <row r="930" spans="19:20" x14ac:dyDescent="0.35">
      <c r="S930" s="12"/>
      <c r="T930" s="12"/>
    </row>
    <row r="931" spans="19:20" x14ac:dyDescent="0.35">
      <c r="S931" s="12"/>
      <c r="T931" s="12"/>
    </row>
    <row r="932" spans="19:20" x14ac:dyDescent="0.35">
      <c r="S932" s="12"/>
      <c r="T932" s="12"/>
    </row>
    <row r="933" spans="19:20" x14ac:dyDescent="0.35">
      <c r="S933" s="12"/>
      <c r="T933" s="12"/>
    </row>
    <row r="934" spans="19:20" x14ac:dyDescent="0.35">
      <c r="S934" s="12"/>
      <c r="T934" s="12"/>
    </row>
    <row r="935" spans="19:20" x14ac:dyDescent="0.35">
      <c r="S935" s="12"/>
      <c r="T935" s="12"/>
    </row>
    <row r="936" spans="19:20" x14ac:dyDescent="0.35">
      <c r="S936" s="12"/>
      <c r="T936" s="12"/>
    </row>
    <row r="937" spans="19:20" x14ac:dyDescent="0.35">
      <c r="S937" s="12"/>
      <c r="T937" s="12"/>
    </row>
    <row r="938" spans="19:20" x14ac:dyDescent="0.35">
      <c r="S938" s="12"/>
      <c r="T938" s="12"/>
    </row>
    <row r="939" spans="19:20" x14ac:dyDescent="0.35">
      <c r="S939" s="12"/>
      <c r="T939" s="12"/>
    </row>
    <row r="940" spans="19:20" x14ac:dyDescent="0.35">
      <c r="S940" s="12"/>
      <c r="T940" s="12"/>
    </row>
    <row r="941" spans="19:20" x14ac:dyDescent="0.35">
      <c r="S941" s="12"/>
      <c r="T941" s="12"/>
    </row>
    <row r="942" spans="19:20" x14ac:dyDescent="0.35">
      <c r="S942" s="12"/>
      <c r="T942" s="12"/>
    </row>
    <row r="943" spans="19:20" x14ac:dyDescent="0.35">
      <c r="S943" s="12"/>
      <c r="T943" s="12"/>
    </row>
    <row r="944" spans="19:20" x14ac:dyDescent="0.35">
      <c r="S944" s="12"/>
      <c r="T944" s="12"/>
    </row>
    <row r="945" spans="19:20" x14ac:dyDescent="0.35">
      <c r="S945" s="12"/>
      <c r="T945" s="12"/>
    </row>
    <row r="946" spans="19:20" x14ac:dyDescent="0.35">
      <c r="S946" s="12"/>
      <c r="T946" s="12"/>
    </row>
    <row r="947" spans="19:20" x14ac:dyDescent="0.35">
      <c r="S947" s="12"/>
      <c r="T947" s="12"/>
    </row>
    <row r="948" spans="19:20" x14ac:dyDescent="0.35">
      <c r="S948" s="12"/>
      <c r="T948" s="12"/>
    </row>
    <row r="949" spans="19:20" x14ac:dyDescent="0.35">
      <c r="S949" s="12"/>
      <c r="T949" s="12"/>
    </row>
    <row r="950" spans="19:20" x14ac:dyDescent="0.35">
      <c r="S950" s="12"/>
      <c r="T950" s="12"/>
    </row>
    <row r="951" spans="19:20" x14ac:dyDescent="0.35">
      <c r="S951" s="12"/>
      <c r="T951" s="12"/>
    </row>
    <row r="952" spans="19:20" x14ac:dyDescent="0.35">
      <c r="S952" s="12"/>
      <c r="T952" s="12"/>
    </row>
    <row r="953" spans="19:20" x14ac:dyDescent="0.35">
      <c r="S953" s="12"/>
      <c r="T953" s="12"/>
    </row>
    <row r="954" spans="19:20" x14ac:dyDescent="0.35">
      <c r="S954" s="12"/>
      <c r="T954" s="12"/>
    </row>
    <row r="955" spans="19:20" x14ac:dyDescent="0.35">
      <c r="S955" s="12"/>
      <c r="T955" s="12"/>
    </row>
    <row r="956" spans="19:20" x14ac:dyDescent="0.35">
      <c r="S956" s="12"/>
      <c r="T956" s="12"/>
    </row>
    <row r="957" spans="19:20" x14ac:dyDescent="0.35">
      <c r="S957" s="12"/>
      <c r="T957" s="12"/>
    </row>
    <row r="958" spans="19:20" x14ac:dyDescent="0.35">
      <c r="S958" s="12"/>
      <c r="T958" s="12"/>
    </row>
    <row r="959" spans="19:20" x14ac:dyDescent="0.35">
      <c r="S959" s="12"/>
      <c r="T959" s="12"/>
    </row>
    <row r="960" spans="19:20" x14ac:dyDescent="0.35">
      <c r="S960" s="12"/>
      <c r="T960" s="12"/>
    </row>
    <row r="961" spans="19:20" x14ac:dyDescent="0.35">
      <c r="S961" s="12"/>
      <c r="T961" s="12"/>
    </row>
    <row r="962" spans="19:20" x14ac:dyDescent="0.35">
      <c r="S962" s="12"/>
      <c r="T962" s="12"/>
    </row>
    <row r="963" spans="19:20" x14ac:dyDescent="0.35">
      <c r="S963" s="12"/>
      <c r="T963" s="12"/>
    </row>
    <row r="964" spans="19:20" x14ac:dyDescent="0.35">
      <c r="S964" s="12"/>
      <c r="T964" s="12"/>
    </row>
    <row r="965" spans="19:20" x14ac:dyDescent="0.35">
      <c r="S965" s="12"/>
      <c r="T965" s="12"/>
    </row>
    <row r="966" spans="19:20" x14ac:dyDescent="0.35">
      <c r="S966" s="12"/>
      <c r="T966" s="12"/>
    </row>
    <row r="967" spans="19:20" x14ac:dyDescent="0.35">
      <c r="S967" s="12"/>
      <c r="T967" s="12"/>
    </row>
    <row r="968" spans="19:20" x14ac:dyDescent="0.35">
      <c r="S968" s="12"/>
      <c r="T968" s="12"/>
    </row>
    <row r="969" spans="19:20" x14ac:dyDescent="0.35">
      <c r="S969" s="12"/>
      <c r="T969" s="12"/>
    </row>
    <row r="970" spans="19:20" x14ac:dyDescent="0.35">
      <c r="S970" s="12"/>
      <c r="T970" s="12"/>
    </row>
    <row r="971" spans="19:20" x14ac:dyDescent="0.35">
      <c r="S971" s="12"/>
      <c r="T971" s="12"/>
    </row>
    <row r="972" spans="19:20" x14ac:dyDescent="0.35">
      <c r="S972" s="12"/>
      <c r="T972" s="12"/>
    </row>
    <row r="973" spans="19:20" x14ac:dyDescent="0.35">
      <c r="S973" s="12"/>
      <c r="T973" s="12"/>
    </row>
    <row r="974" spans="19:20" x14ac:dyDescent="0.35">
      <c r="S974" s="12"/>
      <c r="T974" s="12"/>
    </row>
    <row r="975" spans="19:20" x14ac:dyDescent="0.35">
      <c r="S975" s="12"/>
      <c r="T975" s="12"/>
    </row>
    <row r="976" spans="19:20" x14ac:dyDescent="0.35">
      <c r="S976" s="12"/>
      <c r="T976" s="12"/>
    </row>
    <row r="977" spans="19:20" x14ac:dyDescent="0.35">
      <c r="S977" s="12"/>
      <c r="T977" s="12"/>
    </row>
    <row r="978" spans="19:20" x14ac:dyDescent="0.35">
      <c r="S978" s="12"/>
      <c r="T978" s="12"/>
    </row>
    <row r="979" spans="19:20" x14ac:dyDescent="0.35">
      <c r="S979" s="12"/>
      <c r="T979" s="12"/>
    </row>
    <row r="980" spans="19:20" x14ac:dyDescent="0.35">
      <c r="S980" s="12"/>
      <c r="T980" s="12"/>
    </row>
    <row r="981" spans="19:20" x14ac:dyDescent="0.35">
      <c r="S981" s="12"/>
      <c r="T981" s="12"/>
    </row>
    <row r="982" spans="19:20" x14ac:dyDescent="0.35">
      <c r="S982" s="12"/>
      <c r="T982" s="12"/>
    </row>
    <row r="983" spans="19:20" x14ac:dyDescent="0.35">
      <c r="S983" s="12"/>
      <c r="T983" s="12"/>
    </row>
    <row r="984" spans="19:20" x14ac:dyDescent="0.35">
      <c r="S984" s="12"/>
      <c r="T984" s="12"/>
    </row>
    <row r="985" spans="19:20" x14ac:dyDescent="0.35">
      <c r="S985" s="12"/>
      <c r="T985" s="12"/>
    </row>
    <row r="986" spans="19:20" x14ac:dyDescent="0.35">
      <c r="S986" s="12"/>
      <c r="T986" s="12"/>
    </row>
    <row r="987" spans="19:20" x14ac:dyDescent="0.35">
      <c r="S987" s="12"/>
      <c r="T987" s="12"/>
    </row>
    <row r="988" spans="19:20" x14ac:dyDescent="0.35">
      <c r="S988" s="12"/>
      <c r="T988" s="12"/>
    </row>
    <row r="989" spans="19:20" x14ac:dyDescent="0.35">
      <c r="S989" s="12"/>
      <c r="T989" s="12"/>
    </row>
    <row r="990" spans="19:20" x14ac:dyDescent="0.35">
      <c r="S990" s="12"/>
      <c r="T990" s="12"/>
    </row>
    <row r="991" spans="19:20" x14ac:dyDescent="0.35">
      <c r="S991" s="12"/>
      <c r="T991" s="12"/>
    </row>
    <row r="992" spans="19:20" x14ac:dyDescent="0.35">
      <c r="S992" s="12"/>
      <c r="T992" s="12"/>
    </row>
    <row r="993" spans="19:20" x14ac:dyDescent="0.35">
      <c r="S993" s="12"/>
      <c r="T993" s="12"/>
    </row>
    <row r="994" spans="19:20" x14ac:dyDescent="0.35">
      <c r="S994" s="12"/>
      <c r="T994" s="12"/>
    </row>
    <row r="995" spans="19:20" x14ac:dyDescent="0.35">
      <c r="S995" s="12"/>
      <c r="T995" s="12"/>
    </row>
    <row r="996" spans="19:20" x14ac:dyDescent="0.35">
      <c r="S996" s="12"/>
      <c r="T996" s="12"/>
    </row>
    <row r="997" spans="19:20" x14ac:dyDescent="0.35">
      <c r="S997" s="12"/>
      <c r="T997" s="12"/>
    </row>
    <row r="998" spans="19:20" x14ac:dyDescent="0.35">
      <c r="S998" s="12"/>
      <c r="T998" s="12"/>
    </row>
    <row r="999" spans="19:20" x14ac:dyDescent="0.35">
      <c r="S999" s="12"/>
      <c r="T999" s="12"/>
    </row>
    <row r="1000" spans="19:20" x14ac:dyDescent="0.35">
      <c r="S1000" s="12"/>
      <c r="T1000" s="12"/>
    </row>
    <row r="1001" spans="19:20" x14ac:dyDescent="0.35">
      <c r="S1001" s="12"/>
      <c r="T1001" s="12"/>
    </row>
    <row r="1002" spans="19:20" x14ac:dyDescent="0.35">
      <c r="S1002" s="12"/>
      <c r="T1002" s="12"/>
    </row>
    <row r="1003" spans="19:20" x14ac:dyDescent="0.35">
      <c r="S1003" s="12"/>
      <c r="T1003" s="12"/>
    </row>
    <row r="1004" spans="19:20" x14ac:dyDescent="0.35">
      <c r="S1004" s="12"/>
      <c r="T1004" s="12"/>
    </row>
    <row r="1005" spans="19:20" x14ac:dyDescent="0.35">
      <c r="S1005" s="12"/>
      <c r="T1005" s="12"/>
    </row>
    <row r="1006" spans="19:20" x14ac:dyDescent="0.35">
      <c r="S1006" s="12"/>
      <c r="T1006" s="12"/>
    </row>
    <row r="1007" spans="19:20" x14ac:dyDescent="0.35">
      <c r="S1007" s="12"/>
      <c r="T1007" s="12"/>
    </row>
    <row r="1008" spans="19:20" x14ac:dyDescent="0.35">
      <c r="S1008" s="12"/>
      <c r="T1008" s="12"/>
    </row>
    <row r="1009" spans="19:20" x14ac:dyDescent="0.35">
      <c r="S1009" s="12"/>
      <c r="T1009" s="12"/>
    </row>
    <row r="1010" spans="19:20" x14ac:dyDescent="0.35">
      <c r="S1010" s="12"/>
      <c r="T1010" s="12"/>
    </row>
    <row r="1011" spans="19:20" x14ac:dyDescent="0.35">
      <c r="S1011" s="12"/>
      <c r="T1011" s="12"/>
    </row>
    <row r="1012" spans="19:20" x14ac:dyDescent="0.35">
      <c r="S1012" s="12"/>
      <c r="T1012" s="12"/>
    </row>
    <row r="1013" spans="19:20" x14ac:dyDescent="0.35">
      <c r="S1013" s="12"/>
      <c r="T1013" s="12"/>
    </row>
    <row r="1014" spans="19:20" x14ac:dyDescent="0.35">
      <c r="S1014" s="12"/>
      <c r="T1014" s="12"/>
    </row>
    <row r="1015" spans="19:20" x14ac:dyDescent="0.35">
      <c r="S1015" s="12"/>
      <c r="T1015" s="12"/>
    </row>
    <row r="1016" spans="19:20" x14ac:dyDescent="0.35">
      <c r="S1016" s="12"/>
      <c r="T1016" s="12"/>
    </row>
    <row r="1017" spans="19:20" x14ac:dyDescent="0.35">
      <c r="S1017" s="12"/>
      <c r="T1017" s="12"/>
    </row>
    <row r="1018" spans="19:20" x14ac:dyDescent="0.35">
      <c r="S1018" s="12"/>
      <c r="T1018" s="12"/>
    </row>
    <row r="1019" spans="19:20" x14ac:dyDescent="0.35">
      <c r="S1019" s="12"/>
      <c r="T1019" s="12"/>
    </row>
    <row r="1020" spans="19:20" x14ac:dyDescent="0.35">
      <c r="S1020" s="12"/>
      <c r="T1020" s="12"/>
    </row>
    <row r="1021" spans="19:20" x14ac:dyDescent="0.35">
      <c r="S1021" s="12"/>
      <c r="T1021" s="12"/>
    </row>
    <row r="1022" spans="19:20" x14ac:dyDescent="0.35">
      <c r="S1022" s="12"/>
      <c r="T1022" s="12"/>
    </row>
    <row r="1023" spans="19:20" x14ac:dyDescent="0.35">
      <c r="S1023" s="12"/>
      <c r="T1023" s="12"/>
    </row>
    <row r="1024" spans="19:20" x14ac:dyDescent="0.35">
      <c r="S1024" s="12"/>
      <c r="T1024" s="12"/>
    </row>
    <row r="1025" spans="19:20" x14ac:dyDescent="0.35">
      <c r="S1025" s="12"/>
      <c r="T1025" s="12"/>
    </row>
    <row r="1026" spans="19:20" x14ac:dyDescent="0.35">
      <c r="S1026" s="12"/>
      <c r="T1026" s="12"/>
    </row>
    <row r="1027" spans="19:20" x14ac:dyDescent="0.35">
      <c r="S1027" s="12"/>
      <c r="T1027" s="12"/>
    </row>
    <row r="1028" spans="19:20" x14ac:dyDescent="0.35">
      <c r="S1028" s="12"/>
      <c r="T1028" s="12"/>
    </row>
    <row r="1029" spans="19:20" x14ac:dyDescent="0.35">
      <c r="S1029" s="12"/>
      <c r="T1029" s="12"/>
    </row>
    <row r="1030" spans="19:20" x14ac:dyDescent="0.35">
      <c r="S1030" s="12"/>
      <c r="T1030" s="12"/>
    </row>
    <row r="1031" spans="19:20" x14ac:dyDescent="0.35">
      <c r="S1031" s="12"/>
      <c r="T1031" s="12"/>
    </row>
    <row r="1032" spans="19:20" x14ac:dyDescent="0.35">
      <c r="S1032" s="12"/>
      <c r="T1032" s="12"/>
    </row>
    <row r="1033" spans="19:20" x14ac:dyDescent="0.35">
      <c r="S1033" s="12"/>
      <c r="T1033" s="12"/>
    </row>
    <row r="1034" spans="19:20" x14ac:dyDescent="0.35">
      <c r="S1034" s="12"/>
      <c r="T1034" s="12"/>
    </row>
    <row r="1035" spans="19:20" x14ac:dyDescent="0.35">
      <c r="S1035" s="12"/>
      <c r="T1035" s="12"/>
    </row>
    <row r="1036" spans="19:20" x14ac:dyDescent="0.35">
      <c r="S1036" s="12"/>
      <c r="T1036" s="12"/>
    </row>
    <row r="1037" spans="19:20" x14ac:dyDescent="0.35">
      <c r="S1037" s="12"/>
      <c r="T1037" s="12"/>
    </row>
    <row r="1038" spans="19:20" x14ac:dyDescent="0.35">
      <c r="S1038" s="12"/>
      <c r="T1038" s="12"/>
    </row>
    <row r="1039" spans="19:20" x14ac:dyDescent="0.35">
      <c r="S1039" s="12"/>
      <c r="T1039" s="12"/>
    </row>
    <row r="1040" spans="19:20" x14ac:dyDescent="0.35">
      <c r="S1040" s="12"/>
      <c r="T1040" s="12"/>
    </row>
    <row r="1041" spans="19:20" x14ac:dyDescent="0.35">
      <c r="S1041" s="12"/>
      <c r="T1041" s="12"/>
    </row>
    <row r="1042" spans="19:20" x14ac:dyDescent="0.35">
      <c r="S1042" s="12"/>
      <c r="T1042" s="12"/>
    </row>
    <row r="1043" spans="19:20" x14ac:dyDescent="0.35">
      <c r="S1043" s="12"/>
      <c r="T1043" s="12"/>
    </row>
    <row r="1044" spans="19:20" x14ac:dyDescent="0.35">
      <c r="S1044" s="12"/>
      <c r="T1044" s="12"/>
    </row>
    <row r="1045" spans="19:20" x14ac:dyDescent="0.35">
      <c r="S1045" s="12"/>
      <c r="T1045" s="12"/>
    </row>
    <row r="1046" spans="19:20" x14ac:dyDescent="0.35">
      <c r="S1046" s="12"/>
      <c r="T1046" s="12"/>
    </row>
    <row r="1047" spans="19:20" x14ac:dyDescent="0.35">
      <c r="S1047" s="12"/>
      <c r="T1047" s="12"/>
    </row>
    <row r="1048" spans="19:20" x14ac:dyDescent="0.35">
      <c r="S1048" s="12"/>
      <c r="T1048" s="12"/>
    </row>
    <row r="1049" spans="19:20" x14ac:dyDescent="0.35">
      <c r="S1049" s="12"/>
      <c r="T1049" s="12"/>
    </row>
    <row r="1050" spans="19:20" x14ac:dyDescent="0.35">
      <c r="S1050" s="12"/>
      <c r="T1050" s="12"/>
    </row>
    <row r="1051" spans="19:20" x14ac:dyDescent="0.35">
      <c r="S1051" s="12"/>
      <c r="T1051" s="12"/>
    </row>
    <row r="1052" spans="19:20" x14ac:dyDescent="0.35">
      <c r="S1052" s="12"/>
      <c r="T1052" s="12"/>
    </row>
    <row r="1053" spans="19:20" x14ac:dyDescent="0.35">
      <c r="S1053" s="12"/>
      <c r="T1053" s="12"/>
    </row>
    <row r="1054" spans="19:20" x14ac:dyDescent="0.35">
      <c r="S1054" s="12"/>
      <c r="T1054" s="12"/>
    </row>
    <row r="1055" spans="19:20" x14ac:dyDescent="0.35">
      <c r="S1055" s="12"/>
      <c r="T1055" s="12"/>
    </row>
    <row r="1056" spans="19:20" x14ac:dyDescent="0.35">
      <c r="S1056" s="12"/>
      <c r="T1056" s="12"/>
    </row>
    <row r="1057" spans="19:20" x14ac:dyDescent="0.35">
      <c r="S1057" s="12"/>
      <c r="T1057" s="12"/>
    </row>
    <row r="1058" spans="19:20" x14ac:dyDescent="0.35">
      <c r="S1058" s="12"/>
      <c r="T1058" s="12"/>
    </row>
    <row r="1059" spans="19:20" x14ac:dyDescent="0.35">
      <c r="S1059" s="12"/>
      <c r="T1059" s="12"/>
    </row>
    <row r="1060" spans="19:20" x14ac:dyDescent="0.35">
      <c r="S1060" s="12"/>
      <c r="T1060" s="12"/>
    </row>
    <row r="1061" spans="19:20" x14ac:dyDescent="0.35">
      <c r="S1061" s="12"/>
      <c r="T1061" s="12"/>
    </row>
    <row r="1062" spans="19:20" x14ac:dyDescent="0.35">
      <c r="S1062" s="12"/>
      <c r="T1062" s="12"/>
    </row>
    <row r="1063" spans="19:20" x14ac:dyDescent="0.35">
      <c r="S1063" s="12"/>
      <c r="T1063" s="12"/>
    </row>
    <row r="1064" spans="19:20" x14ac:dyDescent="0.35">
      <c r="S1064" s="12"/>
      <c r="T1064" s="12"/>
    </row>
    <row r="1065" spans="19:20" x14ac:dyDescent="0.35">
      <c r="S1065" s="12"/>
      <c r="T1065" s="12"/>
    </row>
    <row r="1066" spans="19:20" x14ac:dyDescent="0.35">
      <c r="S1066" s="12"/>
      <c r="T1066" s="12"/>
    </row>
    <row r="1067" spans="19:20" x14ac:dyDescent="0.35">
      <c r="S1067" s="12"/>
      <c r="T1067" s="12"/>
    </row>
    <row r="1068" spans="19:20" x14ac:dyDescent="0.35">
      <c r="S1068" s="12"/>
      <c r="T1068" s="12"/>
    </row>
    <row r="1069" spans="19:20" x14ac:dyDescent="0.35">
      <c r="S1069" s="12"/>
      <c r="T1069" s="12"/>
    </row>
    <row r="1070" spans="19:20" x14ac:dyDescent="0.35">
      <c r="S1070" s="12"/>
      <c r="T1070" s="12"/>
    </row>
    <row r="1071" spans="19:20" x14ac:dyDescent="0.35">
      <c r="S1071" s="12"/>
      <c r="T1071" s="12"/>
    </row>
    <row r="1072" spans="19:20" x14ac:dyDescent="0.35">
      <c r="S1072" s="12"/>
      <c r="T1072" s="12"/>
    </row>
    <row r="1073" spans="19:20" x14ac:dyDescent="0.35">
      <c r="S1073" s="12"/>
      <c r="T1073" s="12"/>
    </row>
    <row r="1074" spans="19:20" x14ac:dyDescent="0.35">
      <c r="S1074" s="12"/>
      <c r="T1074" s="12"/>
    </row>
    <row r="1075" spans="19:20" x14ac:dyDescent="0.35">
      <c r="S1075" s="12"/>
      <c r="T1075" s="12"/>
    </row>
    <row r="1076" spans="19:20" x14ac:dyDescent="0.35">
      <c r="S1076" s="12"/>
      <c r="T1076" s="12"/>
    </row>
    <row r="1077" spans="19:20" x14ac:dyDescent="0.35">
      <c r="S1077" s="12"/>
      <c r="T1077" s="12"/>
    </row>
    <row r="1078" spans="19:20" x14ac:dyDescent="0.35">
      <c r="S1078" s="12"/>
      <c r="T1078" s="12"/>
    </row>
    <row r="1079" spans="19:20" x14ac:dyDescent="0.35">
      <c r="S1079" s="12"/>
      <c r="T1079" s="12"/>
    </row>
    <row r="1080" spans="19:20" x14ac:dyDescent="0.35">
      <c r="S1080" s="12"/>
      <c r="T1080" s="12"/>
    </row>
    <row r="1081" spans="19:20" x14ac:dyDescent="0.35">
      <c r="S1081" s="12"/>
      <c r="T1081" s="12"/>
    </row>
    <row r="1082" spans="19:20" x14ac:dyDescent="0.35">
      <c r="S1082" s="12"/>
      <c r="T1082" s="12"/>
    </row>
    <row r="1083" spans="19:20" x14ac:dyDescent="0.35">
      <c r="S1083" s="12"/>
      <c r="T1083" s="12"/>
    </row>
    <row r="1084" spans="19:20" x14ac:dyDescent="0.35">
      <c r="S1084" s="12"/>
      <c r="T1084" s="12"/>
    </row>
    <row r="1085" spans="19:20" x14ac:dyDescent="0.35">
      <c r="S1085" s="12"/>
      <c r="T1085" s="12"/>
    </row>
    <row r="1086" spans="19:20" x14ac:dyDescent="0.35">
      <c r="S1086" s="12"/>
      <c r="T1086" s="12"/>
    </row>
    <row r="1087" spans="19:20" x14ac:dyDescent="0.35">
      <c r="S1087" s="12"/>
      <c r="T1087" s="12"/>
    </row>
    <row r="1088" spans="19:20" x14ac:dyDescent="0.35">
      <c r="S1088" s="12"/>
      <c r="T1088" s="12"/>
    </row>
    <row r="1089" spans="19:20" x14ac:dyDescent="0.35">
      <c r="S1089" s="12"/>
      <c r="T1089" s="12"/>
    </row>
    <row r="1090" spans="19:20" x14ac:dyDescent="0.35">
      <c r="S1090" s="12"/>
      <c r="T1090" s="12"/>
    </row>
    <row r="1091" spans="19:20" x14ac:dyDescent="0.35">
      <c r="S1091" s="12"/>
      <c r="T1091" s="12"/>
    </row>
    <row r="1092" spans="19:20" x14ac:dyDescent="0.35">
      <c r="S1092" s="12"/>
      <c r="T1092" s="12"/>
    </row>
    <row r="1093" spans="19:20" x14ac:dyDescent="0.35">
      <c r="S1093" s="12"/>
      <c r="T1093" s="12"/>
    </row>
    <row r="1094" spans="19:20" x14ac:dyDescent="0.35">
      <c r="S1094" s="12"/>
      <c r="T1094" s="12"/>
    </row>
    <row r="1095" spans="19:20" x14ac:dyDescent="0.35">
      <c r="S1095" s="12"/>
      <c r="T1095" s="12"/>
    </row>
    <row r="1096" spans="19:20" x14ac:dyDescent="0.35">
      <c r="S1096" s="12"/>
      <c r="T1096" s="12"/>
    </row>
    <row r="1097" spans="19:20" x14ac:dyDescent="0.35">
      <c r="S1097" s="12"/>
      <c r="T1097" s="12"/>
    </row>
    <row r="1098" spans="19:20" x14ac:dyDescent="0.35">
      <c r="S1098" s="12"/>
      <c r="T1098" s="12"/>
    </row>
    <row r="1099" spans="19:20" x14ac:dyDescent="0.35">
      <c r="S1099" s="12"/>
      <c r="T1099" s="12"/>
    </row>
    <row r="1100" spans="19:20" x14ac:dyDescent="0.35">
      <c r="S1100" s="12"/>
      <c r="T1100" s="12"/>
    </row>
    <row r="1101" spans="19:20" x14ac:dyDescent="0.35">
      <c r="S1101" s="12"/>
      <c r="T1101" s="12"/>
    </row>
    <row r="1102" spans="19:20" x14ac:dyDescent="0.35">
      <c r="S1102" s="12"/>
      <c r="T1102" s="12"/>
    </row>
    <row r="1103" spans="19:20" x14ac:dyDescent="0.35">
      <c r="S1103" s="12"/>
      <c r="T1103" s="12"/>
    </row>
    <row r="1104" spans="19:20" x14ac:dyDescent="0.35">
      <c r="S1104" s="12"/>
      <c r="T1104" s="12"/>
    </row>
    <row r="1105" spans="19:20" x14ac:dyDescent="0.35">
      <c r="S1105" s="12"/>
      <c r="T1105" s="12"/>
    </row>
    <row r="1106" spans="19:20" x14ac:dyDescent="0.35">
      <c r="S1106" s="12"/>
      <c r="T1106" s="12"/>
    </row>
    <row r="1107" spans="19:20" x14ac:dyDescent="0.35">
      <c r="S1107" s="12"/>
      <c r="T1107" s="12"/>
    </row>
    <row r="1108" spans="19:20" x14ac:dyDescent="0.35">
      <c r="S1108" s="12"/>
      <c r="T1108" s="12"/>
    </row>
    <row r="1109" spans="19:20" x14ac:dyDescent="0.35">
      <c r="S1109" s="12"/>
      <c r="T1109" s="12"/>
    </row>
    <row r="1110" spans="19:20" x14ac:dyDescent="0.35">
      <c r="S1110" s="12"/>
      <c r="T1110" s="12"/>
    </row>
    <row r="1111" spans="19:20" x14ac:dyDescent="0.35">
      <c r="S1111" s="12"/>
      <c r="T1111" s="12"/>
    </row>
    <row r="1112" spans="19:20" x14ac:dyDescent="0.35">
      <c r="S1112" s="12"/>
      <c r="T1112" s="12"/>
    </row>
    <row r="1113" spans="19:20" x14ac:dyDescent="0.35">
      <c r="S1113" s="12"/>
      <c r="T1113" s="12"/>
    </row>
    <row r="1114" spans="19:20" x14ac:dyDescent="0.35">
      <c r="S1114" s="12"/>
      <c r="T1114" s="12"/>
    </row>
    <row r="1115" spans="19:20" x14ac:dyDescent="0.35">
      <c r="S1115" s="12"/>
      <c r="T1115" s="12"/>
    </row>
    <row r="1116" spans="19:20" x14ac:dyDescent="0.35">
      <c r="S1116" s="12"/>
      <c r="T1116" s="12"/>
    </row>
    <row r="1117" spans="19:20" x14ac:dyDescent="0.35">
      <c r="S1117" s="12"/>
      <c r="T1117" s="12"/>
    </row>
    <row r="1118" spans="19:20" x14ac:dyDescent="0.35">
      <c r="S1118" s="12"/>
      <c r="T1118" s="12"/>
    </row>
    <row r="1119" spans="19:20" x14ac:dyDescent="0.35">
      <c r="S1119" s="12"/>
      <c r="T1119" s="12"/>
    </row>
    <row r="1120" spans="19:20" x14ac:dyDescent="0.35">
      <c r="S1120" s="12"/>
      <c r="T1120" s="12"/>
    </row>
    <row r="1121" spans="19:20" x14ac:dyDescent="0.35">
      <c r="S1121" s="12"/>
      <c r="T1121" s="12"/>
    </row>
    <row r="1122" spans="19:20" x14ac:dyDescent="0.35">
      <c r="S1122" s="12"/>
      <c r="T1122" s="12"/>
    </row>
    <row r="1123" spans="19:20" x14ac:dyDescent="0.35">
      <c r="S1123" s="12"/>
      <c r="T1123" s="12"/>
    </row>
    <row r="1124" spans="19:20" x14ac:dyDescent="0.35">
      <c r="S1124" s="12"/>
      <c r="T1124" s="12"/>
    </row>
    <row r="1125" spans="19:20" x14ac:dyDescent="0.35">
      <c r="S1125" s="12"/>
      <c r="T1125" s="12"/>
    </row>
    <row r="1126" spans="19:20" x14ac:dyDescent="0.35">
      <c r="S1126" s="12"/>
      <c r="T1126" s="12"/>
    </row>
    <row r="1127" spans="19:20" x14ac:dyDescent="0.35">
      <c r="S1127" s="12"/>
      <c r="T1127" s="12"/>
    </row>
    <row r="1128" spans="19:20" x14ac:dyDescent="0.35">
      <c r="S1128" s="12"/>
      <c r="T1128" s="12"/>
    </row>
    <row r="1129" spans="19:20" x14ac:dyDescent="0.35">
      <c r="S1129" s="12"/>
      <c r="T1129" s="12"/>
    </row>
    <row r="1130" spans="19:20" x14ac:dyDescent="0.35">
      <c r="S1130" s="12"/>
      <c r="T1130" s="12"/>
    </row>
    <row r="1131" spans="19:20" x14ac:dyDescent="0.35">
      <c r="S1131" s="12"/>
      <c r="T1131" s="12"/>
    </row>
    <row r="1132" spans="19:20" x14ac:dyDescent="0.35">
      <c r="S1132" s="12"/>
      <c r="T1132" s="12"/>
    </row>
    <row r="1133" spans="19:20" x14ac:dyDescent="0.35">
      <c r="S1133" s="12"/>
      <c r="T1133" s="12"/>
    </row>
    <row r="1134" spans="19:20" x14ac:dyDescent="0.35">
      <c r="S1134" s="12"/>
      <c r="T1134" s="12"/>
    </row>
    <row r="1135" spans="19:20" x14ac:dyDescent="0.35">
      <c r="S1135" s="12"/>
      <c r="T1135" s="12"/>
    </row>
    <row r="1136" spans="19:20" x14ac:dyDescent="0.35">
      <c r="S1136" s="12"/>
      <c r="T1136" s="12"/>
    </row>
    <row r="1137" spans="19:20" x14ac:dyDescent="0.35">
      <c r="S1137" s="12"/>
      <c r="T1137" s="12"/>
    </row>
    <row r="1138" spans="19:20" x14ac:dyDescent="0.35">
      <c r="S1138" s="12"/>
      <c r="T1138" s="12"/>
    </row>
    <row r="1139" spans="19:20" x14ac:dyDescent="0.35">
      <c r="S1139" s="12"/>
      <c r="T1139" s="12"/>
    </row>
    <row r="1140" spans="19:20" x14ac:dyDescent="0.35">
      <c r="S1140" s="12"/>
      <c r="T1140" s="12"/>
    </row>
    <row r="1141" spans="19:20" x14ac:dyDescent="0.35">
      <c r="S1141" s="12"/>
      <c r="T1141" s="12"/>
    </row>
    <row r="1142" spans="19:20" x14ac:dyDescent="0.35">
      <c r="S1142" s="12"/>
      <c r="T1142" s="12"/>
    </row>
    <row r="1143" spans="19:20" x14ac:dyDescent="0.35">
      <c r="S1143" s="12"/>
      <c r="T1143" s="12"/>
    </row>
    <row r="1144" spans="19:20" x14ac:dyDescent="0.35">
      <c r="S1144" s="12"/>
      <c r="T1144" s="12"/>
    </row>
    <row r="1145" spans="19:20" x14ac:dyDescent="0.35">
      <c r="S1145" s="12"/>
      <c r="T1145" s="12"/>
    </row>
    <row r="1146" spans="19:20" x14ac:dyDescent="0.35">
      <c r="S1146" s="12"/>
      <c r="T1146" s="12"/>
    </row>
    <row r="1147" spans="19:20" x14ac:dyDescent="0.35">
      <c r="S1147" s="12"/>
      <c r="T1147" s="12"/>
    </row>
    <row r="1148" spans="19:20" x14ac:dyDescent="0.35">
      <c r="S1148" s="12"/>
      <c r="T1148" s="12"/>
    </row>
    <row r="1149" spans="19:20" x14ac:dyDescent="0.35">
      <c r="S1149" s="12"/>
      <c r="T1149" s="12"/>
    </row>
    <row r="1150" spans="19:20" x14ac:dyDescent="0.35">
      <c r="S1150" s="12"/>
      <c r="T1150" s="12"/>
    </row>
    <row r="1151" spans="19:20" x14ac:dyDescent="0.35">
      <c r="S1151" s="12"/>
      <c r="T1151" s="12"/>
    </row>
    <row r="1152" spans="19:20" x14ac:dyDescent="0.35">
      <c r="S1152" s="12"/>
      <c r="T1152" s="12"/>
    </row>
    <row r="1153" spans="19:20" x14ac:dyDescent="0.35">
      <c r="S1153" s="12"/>
      <c r="T1153" s="12"/>
    </row>
    <row r="1154" spans="19:20" x14ac:dyDescent="0.35">
      <c r="S1154" s="12"/>
      <c r="T1154" s="12"/>
    </row>
    <row r="1155" spans="19:20" x14ac:dyDescent="0.35">
      <c r="S1155" s="12"/>
      <c r="T1155" s="12"/>
    </row>
    <row r="1156" spans="19:20" x14ac:dyDescent="0.35">
      <c r="S1156" s="12"/>
      <c r="T1156" s="12"/>
    </row>
    <row r="1157" spans="19:20" x14ac:dyDescent="0.35">
      <c r="S1157" s="12"/>
      <c r="T1157" s="12"/>
    </row>
    <row r="1158" spans="19:20" x14ac:dyDescent="0.35">
      <c r="S1158" s="12"/>
      <c r="T1158" s="12"/>
    </row>
    <row r="1159" spans="19:20" x14ac:dyDescent="0.35">
      <c r="S1159" s="12"/>
      <c r="T1159" s="12"/>
    </row>
    <row r="1160" spans="19:20" x14ac:dyDescent="0.35">
      <c r="S1160" s="12"/>
      <c r="T1160" s="12"/>
    </row>
    <row r="1161" spans="19:20" x14ac:dyDescent="0.35">
      <c r="S1161" s="12"/>
      <c r="T1161" s="12"/>
    </row>
    <row r="1162" spans="19:20" x14ac:dyDescent="0.35">
      <c r="S1162" s="12"/>
      <c r="T1162" s="12"/>
    </row>
    <row r="1163" spans="19:20" x14ac:dyDescent="0.35">
      <c r="S1163" s="12"/>
      <c r="T1163" s="12"/>
    </row>
    <row r="1164" spans="19:20" x14ac:dyDescent="0.35">
      <c r="S1164" s="12"/>
      <c r="T1164" s="12"/>
    </row>
    <row r="1165" spans="19:20" x14ac:dyDescent="0.35">
      <c r="S1165" s="12"/>
      <c r="T1165" s="12"/>
    </row>
    <row r="1166" spans="19:20" x14ac:dyDescent="0.35">
      <c r="S1166" s="12"/>
      <c r="T1166" s="12"/>
    </row>
    <row r="1167" spans="19:20" x14ac:dyDescent="0.35">
      <c r="S1167" s="12"/>
      <c r="T1167" s="12"/>
    </row>
    <row r="1168" spans="19:20" x14ac:dyDescent="0.35">
      <c r="S1168" s="12"/>
      <c r="T1168" s="12"/>
    </row>
    <row r="1169" spans="19:20" x14ac:dyDescent="0.35">
      <c r="S1169" s="12"/>
      <c r="T1169" s="12"/>
    </row>
    <row r="1170" spans="19:20" x14ac:dyDescent="0.35">
      <c r="S1170" s="12"/>
      <c r="T1170" s="12"/>
    </row>
    <row r="1171" spans="19:20" x14ac:dyDescent="0.35">
      <c r="S1171" s="12"/>
      <c r="T1171" s="12"/>
    </row>
    <row r="1172" spans="19:20" x14ac:dyDescent="0.35">
      <c r="S1172" s="12"/>
      <c r="T1172" s="12"/>
    </row>
    <row r="1173" spans="19:20" x14ac:dyDescent="0.35">
      <c r="S1173" s="12"/>
      <c r="T1173" s="12"/>
    </row>
    <row r="1174" spans="19:20" x14ac:dyDescent="0.35">
      <c r="S1174" s="12"/>
      <c r="T1174" s="12"/>
    </row>
    <row r="1175" spans="19:20" x14ac:dyDescent="0.35">
      <c r="S1175" s="12"/>
      <c r="T1175" s="12"/>
    </row>
    <row r="1176" spans="19:20" x14ac:dyDescent="0.35">
      <c r="S1176" s="12"/>
      <c r="T1176" s="12"/>
    </row>
    <row r="1177" spans="19:20" x14ac:dyDescent="0.35">
      <c r="S1177" s="12"/>
      <c r="T1177" s="12"/>
    </row>
    <row r="1178" spans="19:20" x14ac:dyDescent="0.35">
      <c r="S1178" s="12"/>
      <c r="T1178" s="12"/>
    </row>
    <row r="1179" spans="19:20" x14ac:dyDescent="0.35">
      <c r="S1179" s="12"/>
      <c r="T1179" s="12"/>
    </row>
    <row r="1180" spans="19:20" x14ac:dyDescent="0.35">
      <c r="S1180" s="12"/>
      <c r="T1180" s="12"/>
    </row>
    <row r="1181" spans="19:20" x14ac:dyDescent="0.35">
      <c r="S1181" s="12"/>
      <c r="T1181" s="12"/>
    </row>
    <row r="1182" spans="19:20" x14ac:dyDescent="0.35">
      <c r="S1182" s="12"/>
      <c r="T1182" s="12"/>
    </row>
    <row r="1183" spans="19:20" x14ac:dyDescent="0.35">
      <c r="S1183" s="12"/>
      <c r="T1183" s="12"/>
    </row>
    <row r="1184" spans="19:20" x14ac:dyDescent="0.35">
      <c r="S1184" s="12"/>
      <c r="T1184" s="12"/>
    </row>
    <row r="1185" spans="19:20" x14ac:dyDescent="0.35">
      <c r="S1185" s="12"/>
      <c r="T1185" s="12"/>
    </row>
    <row r="1186" spans="19:20" x14ac:dyDescent="0.35">
      <c r="S1186" s="12"/>
      <c r="T1186" s="12"/>
    </row>
    <row r="1187" spans="19:20" x14ac:dyDescent="0.35">
      <c r="S1187" s="12"/>
      <c r="T1187" s="12"/>
    </row>
    <row r="1188" spans="19:20" x14ac:dyDescent="0.35">
      <c r="S1188" s="12"/>
      <c r="T1188" s="12"/>
    </row>
    <row r="1189" spans="19:20" x14ac:dyDescent="0.35">
      <c r="S1189" s="12"/>
      <c r="T1189" s="12"/>
    </row>
    <row r="1190" spans="19:20" x14ac:dyDescent="0.35">
      <c r="S1190" s="12"/>
      <c r="T1190" s="12"/>
    </row>
    <row r="1191" spans="19:20" x14ac:dyDescent="0.35">
      <c r="S1191" s="12"/>
      <c r="T1191" s="12"/>
    </row>
    <row r="1192" spans="19:20" x14ac:dyDescent="0.35">
      <c r="S1192" s="12"/>
      <c r="T1192" s="12"/>
    </row>
    <row r="1193" spans="19:20" x14ac:dyDescent="0.35">
      <c r="S1193" s="12"/>
      <c r="T1193" s="12"/>
    </row>
    <row r="1194" spans="19:20" x14ac:dyDescent="0.35">
      <c r="S1194" s="12"/>
      <c r="T1194" s="12"/>
    </row>
    <row r="1195" spans="19:20" x14ac:dyDescent="0.35">
      <c r="S1195" s="12"/>
      <c r="T1195" s="12"/>
    </row>
    <row r="1196" spans="19:20" x14ac:dyDescent="0.35">
      <c r="S1196" s="12"/>
      <c r="T1196" s="12"/>
    </row>
    <row r="1197" spans="19:20" x14ac:dyDescent="0.35">
      <c r="S1197" s="12"/>
      <c r="T1197" s="12"/>
    </row>
    <row r="1198" spans="19:20" x14ac:dyDescent="0.35">
      <c r="S1198" s="12"/>
      <c r="T1198" s="12"/>
    </row>
    <row r="1199" spans="19:20" x14ac:dyDescent="0.35">
      <c r="S1199" s="12"/>
      <c r="T1199" s="12"/>
    </row>
    <row r="1200" spans="19:20" x14ac:dyDescent="0.35">
      <c r="S1200" s="12"/>
      <c r="T1200" s="12"/>
    </row>
    <row r="1201" spans="19:20" x14ac:dyDescent="0.35">
      <c r="S1201" s="12"/>
      <c r="T1201" s="12"/>
    </row>
    <row r="1202" spans="19:20" x14ac:dyDescent="0.35">
      <c r="S1202" s="12"/>
      <c r="T1202" s="12"/>
    </row>
    <row r="1203" spans="19:20" x14ac:dyDescent="0.35">
      <c r="S1203" s="12"/>
      <c r="T1203" s="12"/>
    </row>
    <row r="1204" spans="19:20" x14ac:dyDescent="0.35">
      <c r="S1204" s="12"/>
      <c r="T1204" s="12"/>
    </row>
    <row r="1205" spans="19:20" x14ac:dyDescent="0.35">
      <c r="S1205" s="12"/>
      <c r="T1205" s="12"/>
    </row>
    <row r="1206" spans="19:20" x14ac:dyDescent="0.35">
      <c r="S1206" s="12"/>
      <c r="T1206" s="12"/>
    </row>
    <row r="1207" spans="19:20" x14ac:dyDescent="0.35">
      <c r="S1207" s="12"/>
      <c r="T1207" s="12"/>
    </row>
    <row r="1208" spans="19:20" x14ac:dyDescent="0.35">
      <c r="S1208" s="12"/>
      <c r="T1208" s="12"/>
    </row>
    <row r="1209" spans="19:20" x14ac:dyDescent="0.35">
      <c r="S1209" s="12"/>
      <c r="T1209" s="12"/>
    </row>
    <row r="1210" spans="19:20" x14ac:dyDescent="0.35">
      <c r="S1210" s="12"/>
      <c r="T1210" s="12"/>
    </row>
    <row r="1211" spans="19:20" x14ac:dyDescent="0.35">
      <c r="S1211" s="12"/>
      <c r="T1211" s="12"/>
    </row>
    <row r="1212" spans="19:20" x14ac:dyDescent="0.35">
      <c r="S1212" s="12"/>
      <c r="T1212" s="12"/>
    </row>
    <row r="1213" spans="19:20" x14ac:dyDescent="0.35">
      <c r="S1213" s="12"/>
      <c r="T1213" s="12"/>
    </row>
    <row r="1214" spans="19:20" x14ac:dyDescent="0.35">
      <c r="S1214" s="12"/>
      <c r="T1214" s="12"/>
    </row>
    <row r="1215" spans="19:20" x14ac:dyDescent="0.35">
      <c r="S1215" s="12"/>
      <c r="T1215" s="12"/>
    </row>
    <row r="1216" spans="19:20" x14ac:dyDescent="0.35">
      <c r="S1216" s="12"/>
      <c r="T1216" s="12"/>
    </row>
    <row r="1217" spans="19:20" x14ac:dyDescent="0.35">
      <c r="S1217" s="12"/>
      <c r="T1217" s="12"/>
    </row>
    <row r="1218" spans="19:20" x14ac:dyDescent="0.35">
      <c r="S1218" s="12"/>
      <c r="T1218" s="12"/>
    </row>
    <row r="1219" spans="19:20" x14ac:dyDescent="0.35">
      <c r="S1219" s="12"/>
      <c r="T1219" s="12"/>
    </row>
    <row r="1220" spans="19:20" x14ac:dyDescent="0.35">
      <c r="S1220" s="12"/>
      <c r="T1220" s="12"/>
    </row>
    <row r="1221" spans="19:20" x14ac:dyDescent="0.35">
      <c r="S1221" s="12"/>
      <c r="T1221" s="12"/>
    </row>
    <row r="1222" spans="19:20" x14ac:dyDescent="0.35">
      <c r="S1222" s="12"/>
      <c r="T1222" s="12"/>
    </row>
    <row r="1223" spans="19:20" x14ac:dyDescent="0.35">
      <c r="S1223" s="12"/>
      <c r="T1223" s="12"/>
    </row>
    <row r="1224" spans="19:20" x14ac:dyDescent="0.35">
      <c r="S1224" s="12"/>
      <c r="T1224" s="12"/>
    </row>
    <row r="1225" spans="19:20" x14ac:dyDescent="0.35">
      <c r="S1225" s="12"/>
      <c r="T1225" s="12"/>
    </row>
    <row r="1226" spans="19:20" x14ac:dyDescent="0.35">
      <c r="S1226" s="12"/>
      <c r="T1226" s="12"/>
    </row>
    <row r="1227" spans="19:20" x14ac:dyDescent="0.35">
      <c r="S1227" s="12"/>
      <c r="T1227" s="12"/>
    </row>
    <row r="1228" spans="19:20" x14ac:dyDescent="0.35">
      <c r="S1228" s="12"/>
      <c r="T1228" s="12"/>
    </row>
    <row r="1229" spans="19:20" x14ac:dyDescent="0.35">
      <c r="S1229" s="12"/>
      <c r="T1229" s="12"/>
    </row>
    <row r="1230" spans="19:20" x14ac:dyDescent="0.35">
      <c r="S1230" s="12"/>
      <c r="T1230" s="12"/>
    </row>
    <row r="1231" spans="19:20" x14ac:dyDescent="0.35">
      <c r="S1231" s="12"/>
      <c r="T1231" s="12"/>
    </row>
    <row r="1232" spans="19:20" x14ac:dyDescent="0.35">
      <c r="S1232" s="12"/>
      <c r="T1232" s="12"/>
    </row>
    <row r="1233" spans="19:20" x14ac:dyDescent="0.35">
      <c r="S1233" s="12"/>
      <c r="T1233" s="12"/>
    </row>
    <row r="1234" spans="19:20" x14ac:dyDescent="0.35">
      <c r="S1234" s="12"/>
      <c r="T1234" s="12"/>
    </row>
    <row r="1235" spans="19:20" x14ac:dyDescent="0.35">
      <c r="S1235" s="12"/>
      <c r="T1235" s="12"/>
    </row>
    <row r="1236" spans="19:20" x14ac:dyDescent="0.35">
      <c r="S1236" s="12"/>
      <c r="T1236" s="12"/>
    </row>
    <row r="1237" spans="19:20" x14ac:dyDescent="0.35">
      <c r="S1237" s="12"/>
      <c r="T1237" s="12"/>
    </row>
    <row r="1238" spans="19:20" x14ac:dyDescent="0.35">
      <c r="S1238" s="12"/>
      <c r="T1238" s="12"/>
    </row>
    <row r="1239" spans="19:20" x14ac:dyDescent="0.35">
      <c r="S1239" s="12"/>
      <c r="T1239" s="12"/>
    </row>
    <row r="1240" spans="19:20" x14ac:dyDescent="0.35">
      <c r="S1240" s="12"/>
      <c r="T1240" s="12"/>
    </row>
    <row r="1241" spans="19:20" x14ac:dyDescent="0.35">
      <c r="S1241" s="12"/>
      <c r="T1241" s="12"/>
    </row>
    <row r="1242" spans="19:20" x14ac:dyDescent="0.35">
      <c r="S1242" s="12"/>
      <c r="T1242" s="12"/>
    </row>
    <row r="1243" spans="19:20" x14ac:dyDescent="0.35">
      <c r="S1243" s="12"/>
      <c r="T1243" s="12"/>
    </row>
    <row r="1244" spans="19:20" x14ac:dyDescent="0.35">
      <c r="S1244" s="12"/>
      <c r="T1244" s="12"/>
    </row>
    <row r="1245" spans="19:20" x14ac:dyDescent="0.35">
      <c r="S1245" s="12"/>
      <c r="T1245" s="12"/>
    </row>
    <row r="1246" spans="19:20" x14ac:dyDescent="0.35">
      <c r="S1246" s="12"/>
      <c r="T1246" s="12"/>
    </row>
    <row r="1247" spans="19:20" x14ac:dyDescent="0.35">
      <c r="S1247" s="12"/>
      <c r="T1247" s="12"/>
    </row>
    <row r="1248" spans="19:20" x14ac:dyDescent="0.35">
      <c r="S1248" s="12"/>
      <c r="T1248" s="12"/>
    </row>
    <row r="1249" spans="19:20" x14ac:dyDescent="0.35">
      <c r="S1249" s="12"/>
      <c r="T1249" s="12"/>
    </row>
    <row r="1250" spans="19:20" x14ac:dyDescent="0.35">
      <c r="S1250" s="12"/>
      <c r="T1250" s="12"/>
    </row>
    <row r="1251" spans="19:20" x14ac:dyDescent="0.35">
      <c r="S1251" s="12"/>
      <c r="T1251" s="12"/>
    </row>
    <row r="1252" spans="19:20" x14ac:dyDescent="0.35">
      <c r="S1252" s="12"/>
      <c r="T1252" s="12"/>
    </row>
    <row r="1253" spans="19:20" x14ac:dyDescent="0.35">
      <c r="S1253" s="12"/>
      <c r="T1253" s="12"/>
    </row>
    <row r="1254" spans="19:20" x14ac:dyDescent="0.35">
      <c r="S1254" s="12"/>
      <c r="T1254" s="12"/>
    </row>
    <row r="1255" spans="19:20" x14ac:dyDescent="0.35">
      <c r="S1255" s="12"/>
      <c r="T1255" s="12"/>
    </row>
    <row r="1256" spans="19:20" x14ac:dyDescent="0.35">
      <c r="S1256" s="12"/>
      <c r="T1256" s="12"/>
    </row>
    <row r="1257" spans="19:20" x14ac:dyDescent="0.35">
      <c r="S1257" s="12"/>
      <c r="T1257" s="12"/>
    </row>
    <row r="1258" spans="19:20" x14ac:dyDescent="0.35">
      <c r="S1258" s="12"/>
      <c r="T1258" s="12"/>
    </row>
    <row r="1259" spans="19:20" x14ac:dyDescent="0.35">
      <c r="S1259" s="12"/>
      <c r="T1259" s="12"/>
    </row>
    <row r="1260" spans="19:20" x14ac:dyDescent="0.35">
      <c r="S1260" s="12"/>
      <c r="T1260" s="12"/>
    </row>
    <row r="1261" spans="19:20" x14ac:dyDescent="0.35">
      <c r="S1261" s="12"/>
      <c r="T1261" s="12"/>
    </row>
    <row r="1262" spans="19:20" x14ac:dyDescent="0.35">
      <c r="S1262" s="12"/>
      <c r="T1262" s="12"/>
    </row>
    <row r="1263" spans="19:20" x14ac:dyDescent="0.35">
      <c r="S1263" s="12"/>
      <c r="T1263" s="12"/>
    </row>
    <row r="1264" spans="19:20" x14ac:dyDescent="0.35">
      <c r="S1264" s="12"/>
      <c r="T1264" s="12"/>
    </row>
    <row r="1265" spans="19:20" x14ac:dyDescent="0.35">
      <c r="S1265" s="12"/>
      <c r="T1265" s="12"/>
    </row>
    <row r="1266" spans="19:20" x14ac:dyDescent="0.35">
      <c r="S1266" s="12"/>
      <c r="T1266" s="12"/>
    </row>
    <row r="1267" spans="19:20" x14ac:dyDescent="0.35">
      <c r="S1267" s="12"/>
      <c r="T1267" s="12"/>
    </row>
    <row r="1268" spans="19:20" x14ac:dyDescent="0.35">
      <c r="S1268" s="12"/>
      <c r="T1268" s="12"/>
    </row>
    <row r="1269" spans="19:20" x14ac:dyDescent="0.35">
      <c r="S1269" s="12"/>
      <c r="T1269" s="12"/>
    </row>
    <row r="1270" spans="19:20" x14ac:dyDescent="0.35">
      <c r="S1270" s="12"/>
      <c r="T1270" s="12"/>
    </row>
    <row r="1271" spans="19:20" x14ac:dyDescent="0.35">
      <c r="S1271" s="12"/>
      <c r="T1271" s="12"/>
    </row>
    <row r="1272" spans="19:20" x14ac:dyDescent="0.35">
      <c r="S1272" s="12"/>
      <c r="T1272" s="12"/>
    </row>
    <row r="1273" spans="19:20" x14ac:dyDescent="0.35">
      <c r="S1273" s="12"/>
      <c r="T1273" s="12"/>
    </row>
    <row r="1274" spans="19:20" x14ac:dyDescent="0.35">
      <c r="S1274" s="12"/>
      <c r="T1274" s="12"/>
    </row>
    <row r="1275" spans="19:20" x14ac:dyDescent="0.35">
      <c r="S1275" s="12"/>
      <c r="T1275" s="12"/>
    </row>
    <row r="1276" spans="19:20" x14ac:dyDescent="0.35">
      <c r="S1276" s="12"/>
      <c r="T1276" s="12"/>
    </row>
    <row r="1277" spans="19:20" x14ac:dyDescent="0.35">
      <c r="S1277" s="12"/>
      <c r="T1277" s="12"/>
    </row>
    <row r="1278" spans="19:20" x14ac:dyDescent="0.35">
      <c r="S1278" s="12"/>
      <c r="T1278" s="12"/>
    </row>
    <row r="1279" spans="19:20" x14ac:dyDescent="0.35">
      <c r="S1279" s="12"/>
      <c r="T1279" s="12"/>
    </row>
    <row r="1280" spans="19:20" x14ac:dyDescent="0.35">
      <c r="S1280" s="12"/>
      <c r="T1280" s="12"/>
    </row>
    <row r="1281" spans="19:20" x14ac:dyDescent="0.35">
      <c r="S1281" s="12"/>
      <c r="T1281" s="12"/>
    </row>
    <row r="1282" spans="19:20" x14ac:dyDescent="0.35">
      <c r="S1282" s="12"/>
      <c r="T1282" s="12"/>
    </row>
    <row r="1283" spans="19:20" x14ac:dyDescent="0.35">
      <c r="S1283" s="12"/>
      <c r="T1283" s="12"/>
    </row>
    <row r="1284" spans="19:20" x14ac:dyDescent="0.35">
      <c r="S1284" s="12"/>
      <c r="T1284" s="12"/>
    </row>
    <row r="1285" spans="19:20" x14ac:dyDescent="0.35">
      <c r="S1285" s="12"/>
      <c r="T1285" s="12"/>
    </row>
    <row r="1286" spans="19:20" x14ac:dyDescent="0.35">
      <c r="S1286" s="12"/>
      <c r="T1286" s="12"/>
    </row>
    <row r="1287" spans="19:20" x14ac:dyDescent="0.35">
      <c r="S1287" s="12"/>
      <c r="T1287" s="12"/>
    </row>
    <row r="1288" spans="19:20" x14ac:dyDescent="0.35">
      <c r="S1288" s="12"/>
      <c r="T1288" s="12"/>
    </row>
    <row r="1289" spans="19:20" x14ac:dyDescent="0.35">
      <c r="S1289" s="12"/>
      <c r="T1289" s="12"/>
    </row>
    <row r="1290" spans="19:20" x14ac:dyDescent="0.35">
      <c r="S1290" s="12"/>
      <c r="T1290" s="12"/>
    </row>
    <row r="1291" spans="19:20" x14ac:dyDescent="0.35">
      <c r="S1291" s="12"/>
      <c r="T1291" s="12"/>
    </row>
    <row r="1292" spans="19:20" x14ac:dyDescent="0.35">
      <c r="S1292" s="12"/>
      <c r="T1292" s="12"/>
    </row>
    <row r="1293" spans="19:20" x14ac:dyDescent="0.35">
      <c r="S1293" s="12"/>
      <c r="T1293" s="12"/>
    </row>
    <row r="1294" spans="19:20" x14ac:dyDescent="0.35">
      <c r="S1294" s="12"/>
      <c r="T1294" s="12"/>
    </row>
    <row r="1295" spans="19:20" x14ac:dyDescent="0.35">
      <c r="S1295" s="12"/>
      <c r="T1295" s="12"/>
    </row>
    <row r="1296" spans="19:20" x14ac:dyDescent="0.35">
      <c r="S1296" s="12"/>
      <c r="T1296" s="12"/>
    </row>
    <row r="1297" spans="19:20" x14ac:dyDescent="0.35">
      <c r="S1297" s="12"/>
      <c r="T1297" s="12"/>
    </row>
    <row r="1298" spans="19:20" x14ac:dyDescent="0.35">
      <c r="S1298" s="12"/>
      <c r="T1298" s="12"/>
    </row>
    <row r="1299" spans="19:20" x14ac:dyDescent="0.35">
      <c r="S1299" s="12"/>
      <c r="T1299" s="12"/>
    </row>
    <row r="1300" spans="19:20" x14ac:dyDescent="0.35">
      <c r="S1300" s="12"/>
      <c r="T1300" s="12"/>
    </row>
    <row r="1301" spans="19:20" x14ac:dyDescent="0.35">
      <c r="S1301" s="12"/>
      <c r="T1301" s="12"/>
    </row>
    <row r="1302" spans="19:20" x14ac:dyDescent="0.35">
      <c r="S1302" s="12"/>
      <c r="T1302" s="12"/>
    </row>
    <row r="1303" spans="19:20" x14ac:dyDescent="0.35">
      <c r="S1303" s="12"/>
      <c r="T1303" s="12"/>
    </row>
    <row r="1304" spans="19:20" x14ac:dyDescent="0.35">
      <c r="S1304" s="12"/>
      <c r="T1304" s="12"/>
    </row>
    <row r="1305" spans="19:20" x14ac:dyDescent="0.35">
      <c r="S1305" s="12"/>
      <c r="T1305" s="12"/>
    </row>
    <row r="1306" spans="19:20" x14ac:dyDescent="0.35">
      <c r="S1306" s="12"/>
      <c r="T1306" s="12"/>
    </row>
    <row r="1307" spans="19:20" x14ac:dyDescent="0.35">
      <c r="S1307" s="12"/>
      <c r="T1307" s="12"/>
    </row>
    <row r="1308" spans="19:20" x14ac:dyDescent="0.35">
      <c r="S1308" s="12"/>
      <c r="T1308" s="12"/>
    </row>
    <row r="1309" spans="19:20" x14ac:dyDescent="0.35">
      <c r="S1309" s="12"/>
      <c r="T1309" s="12"/>
    </row>
    <row r="1310" spans="19:20" x14ac:dyDescent="0.35">
      <c r="S1310" s="12"/>
      <c r="T1310" s="12"/>
    </row>
    <row r="1311" spans="19:20" x14ac:dyDescent="0.35">
      <c r="S1311" s="12"/>
      <c r="T1311" s="12"/>
    </row>
    <row r="1312" spans="19:20" x14ac:dyDescent="0.35">
      <c r="S1312" s="12"/>
      <c r="T1312" s="12"/>
    </row>
    <row r="1313" spans="19:20" x14ac:dyDescent="0.35">
      <c r="S1313" s="12"/>
      <c r="T1313" s="12"/>
    </row>
    <row r="1314" spans="19:20" x14ac:dyDescent="0.35">
      <c r="S1314" s="12"/>
      <c r="T1314" s="12"/>
    </row>
    <row r="1315" spans="19:20" x14ac:dyDescent="0.35">
      <c r="S1315" s="12"/>
      <c r="T1315" s="12"/>
    </row>
    <row r="1316" spans="19:20" x14ac:dyDescent="0.35">
      <c r="S1316" s="12"/>
      <c r="T1316" s="12"/>
    </row>
    <row r="1317" spans="19:20" x14ac:dyDescent="0.35">
      <c r="S1317" s="12"/>
      <c r="T1317" s="12"/>
    </row>
    <row r="1318" spans="19:20" x14ac:dyDescent="0.35">
      <c r="S1318" s="12"/>
      <c r="T1318" s="12"/>
    </row>
    <row r="1319" spans="19:20" x14ac:dyDescent="0.35">
      <c r="S1319" s="12"/>
      <c r="T1319" s="12"/>
    </row>
    <row r="1320" spans="19:20" x14ac:dyDescent="0.35">
      <c r="S1320" s="12"/>
      <c r="T1320" s="12"/>
    </row>
    <row r="1321" spans="19:20" x14ac:dyDescent="0.35">
      <c r="S1321" s="12"/>
      <c r="T1321" s="12"/>
    </row>
    <row r="1322" spans="19:20" x14ac:dyDescent="0.35">
      <c r="S1322" s="12"/>
      <c r="T1322" s="12"/>
    </row>
    <row r="1323" spans="19:20" x14ac:dyDescent="0.35">
      <c r="S1323" s="12"/>
      <c r="T1323" s="12"/>
    </row>
    <row r="1324" spans="19:20" x14ac:dyDescent="0.35">
      <c r="S1324" s="12"/>
      <c r="T1324" s="12"/>
    </row>
    <row r="1325" spans="19:20" x14ac:dyDescent="0.35">
      <c r="S1325" s="12"/>
      <c r="T1325" s="12"/>
    </row>
    <row r="1326" spans="19:20" x14ac:dyDescent="0.35">
      <c r="S1326" s="12"/>
      <c r="T1326" s="12"/>
    </row>
    <row r="1327" spans="19:20" x14ac:dyDescent="0.35">
      <c r="S1327" s="12"/>
      <c r="T1327" s="12"/>
    </row>
    <row r="1328" spans="19:20" x14ac:dyDescent="0.35">
      <c r="S1328" s="12"/>
      <c r="T1328" s="12"/>
    </row>
    <row r="1329" spans="19:20" x14ac:dyDescent="0.35">
      <c r="S1329" s="12"/>
      <c r="T1329" s="12"/>
    </row>
    <row r="1330" spans="19:20" x14ac:dyDescent="0.35">
      <c r="S1330" s="12"/>
      <c r="T1330" s="12"/>
    </row>
    <row r="1331" spans="19:20" x14ac:dyDescent="0.35">
      <c r="S1331" s="12"/>
      <c r="T1331" s="12"/>
    </row>
    <row r="1332" spans="19:20" x14ac:dyDescent="0.35">
      <c r="S1332" s="12"/>
      <c r="T1332" s="12"/>
    </row>
    <row r="1333" spans="19:20" x14ac:dyDescent="0.35">
      <c r="S1333" s="12"/>
      <c r="T1333" s="12"/>
    </row>
    <row r="1334" spans="19:20" x14ac:dyDescent="0.35">
      <c r="S1334" s="12"/>
      <c r="T1334" s="12"/>
    </row>
    <row r="1335" spans="19:20" x14ac:dyDescent="0.35">
      <c r="S1335" s="12"/>
      <c r="T1335" s="12"/>
    </row>
    <row r="1336" spans="19:20" x14ac:dyDescent="0.35">
      <c r="S1336" s="12"/>
      <c r="T1336" s="12"/>
    </row>
    <row r="1337" spans="19:20" x14ac:dyDescent="0.35">
      <c r="S1337" s="12"/>
      <c r="T1337" s="12"/>
    </row>
    <row r="1338" spans="19:20" x14ac:dyDescent="0.35">
      <c r="S1338" s="12"/>
      <c r="T1338" s="12"/>
    </row>
    <row r="1339" spans="19:20" x14ac:dyDescent="0.35">
      <c r="S1339" s="12"/>
      <c r="T1339" s="12"/>
    </row>
    <row r="1340" spans="19:20" x14ac:dyDescent="0.35">
      <c r="S1340" s="12"/>
      <c r="T1340" s="12"/>
    </row>
    <row r="1341" spans="19:20" x14ac:dyDescent="0.35">
      <c r="S1341" s="12"/>
      <c r="T1341" s="12"/>
    </row>
    <row r="1342" spans="19:20" x14ac:dyDescent="0.35">
      <c r="S1342" s="12"/>
      <c r="T1342" s="12"/>
    </row>
    <row r="1343" spans="19:20" x14ac:dyDescent="0.35">
      <c r="S1343" s="12"/>
      <c r="T1343" s="12"/>
    </row>
    <row r="1344" spans="19:20" x14ac:dyDescent="0.35">
      <c r="S1344" s="12"/>
      <c r="T1344" s="12"/>
    </row>
    <row r="1345" spans="19:20" x14ac:dyDescent="0.35">
      <c r="S1345" s="12"/>
      <c r="T1345" s="12"/>
    </row>
    <row r="1346" spans="19:20" x14ac:dyDescent="0.35">
      <c r="S1346" s="12"/>
      <c r="T1346" s="12"/>
    </row>
    <row r="1347" spans="19:20" x14ac:dyDescent="0.35">
      <c r="S1347" s="12"/>
      <c r="T1347" s="12"/>
    </row>
    <row r="1348" spans="19:20" x14ac:dyDescent="0.35">
      <c r="S1348" s="12"/>
      <c r="T1348" s="12"/>
    </row>
    <row r="1349" spans="19:20" x14ac:dyDescent="0.35">
      <c r="S1349" s="12"/>
      <c r="T1349" s="12"/>
    </row>
    <row r="1350" spans="19:20" x14ac:dyDescent="0.35">
      <c r="S1350" s="12"/>
      <c r="T1350" s="12"/>
    </row>
    <row r="1351" spans="19:20" x14ac:dyDescent="0.35">
      <c r="S1351" s="12"/>
      <c r="T1351" s="12"/>
    </row>
    <row r="1352" spans="19:20" x14ac:dyDescent="0.35">
      <c r="S1352" s="12"/>
      <c r="T1352" s="12"/>
    </row>
    <row r="1353" spans="19:20" x14ac:dyDescent="0.35">
      <c r="S1353" s="12"/>
      <c r="T1353" s="12"/>
    </row>
    <row r="1354" spans="19:20" x14ac:dyDescent="0.35">
      <c r="S1354" s="12"/>
      <c r="T1354" s="12"/>
    </row>
    <row r="1355" spans="19:20" x14ac:dyDescent="0.35">
      <c r="S1355" s="12"/>
      <c r="T1355" s="12"/>
    </row>
    <row r="1356" spans="19:20" x14ac:dyDescent="0.35">
      <c r="S1356" s="12"/>
      <c r="T1356" s="12"/>
    </row>
    <row r="1357" spans="19:20" x14ac:dyDescent="0.35">
      <c r="S1357" s="12"/>
      <c r="T1357" s="12"/>
    </row>
    <row r="1358" spans="19:20" x14ac:dyDescent="0.35">
      <c r="S1358" s="12"/>
      <c r="T1358" s="12"/>
    </row>
    <row r="1359" spans="19:20" x14ac:dyDescent="0.35">
      <c r="S1359" s="12"/>
      <c r="T1359" s="12"/>
    </row>
    <row r="1360" spans="19:20" x14ac:dyDescent="0.35">
      <c r="S1360" s="12"/>
      <c r="T1360" s="12"/>
    </row>
    <row r="1361" spans="19:20" x14ac:dyDescent="0.35">
      <c r="S1361" s="12"/>
      <c r="T1361" s="12"/>
    </row>
    <row r="1362" spans="19:20" x14ac:dyDescent="0.35">
      <c r="S1362" s="12"/>
      <c r="T1362" s="12"/>
    </row>
    <row r="1363" spans="19:20" x14ac:dyDescent="0.35">
      <c r="S1363" s="12"/>
      <c r="T1363" s="12"/>
    </row>
    <row r="1364" spans="19:20" x14ac:dyDescent="0.35">
      <c r="S1364" s="12"/>
      <c r="T1364" s="12"/>
    </row>
    <row r="1365" spans="19:20" x14ac:dyDescent="0.35">
      <c r="S1365" s="12"/>
      <c r="T1365" s="12"/>
    </row>
    <row r="1366" spans="19:20" x14ac:dyDescent="0.35">
      <c r="S1366" s="12"/>
      <c r="T1366" s="12"/>
    </row>
    <row r="1367" spans="19:20" x14ac:dyDescent="0.35">
      <c r="S1367" s="12"/>
      <c r="T1367" s="12"/>
    </row>
    <row r="1368" spans="19:20" x14ac:dyDescent="0.35">
      <c r="S1368" s="12"/>
      <c r="T1368" s="12"/>
    </row>
    <row r="1369" spans="19:20" x14ac:dyDescent="0.35">
      <c r="S1369" s="12"/>
      <c r="T1369" s="12"/>
    </row>
    <row r="1370" spans="19:20" x14ac:dyDescent="0.35">
      <c r="S1370" s="12"/>
      <c r="T1370" s="12"/>
    </row>
    <row r="1371" spans="19:20" x14ac:dyDescent="0.35">
      <c r="S1371" s="12"/>
      <c r="T1371" s="12"/>
    </row>
    <row r="1372" spans="19:20" x14ac:dyDescent="0.35">
      <c r="S1372" s="12"/>
      <c r="T1372" s="12"/>
    </row>
    <row r="1373" spans="19:20" x14ac:dyDescent="0.35">
      <c r="S1373" s="12"/>
      <c r="T1373" s="12"/>
    </row>
    <row r="1374" spans="19:20" x14ac:dyDescent="0.35">
      <c r="S1374" s="12"/>
      <c r="T1374" s="12"/>
    </row>
    <row r="1375" spans="19:20" x14ac:dyDescent="0.35">
      <c r="S1375" s="12"/>
      <c r="T1375" s="12"/>
    </row>
    <row r="1376" spans="19:20" x14ac:dyDescent="0.35">
      <c r="S1376" s="12"/>
      <c r="T1376" s="12"/>
    </row>
    <row r="1377" spans="19:20" x14ac:dyDescent="0.35">
      <c r="S1377" s="12"/>
      <c r="T1377" s="12"/>
    </row>
    <row r="1378" spans="19:20" x14ac:dyDescent="0.35">
      <c r="S1378" s="12"/>
      <c r="T1378" s="12"/>
    </row>
    <row r="1379" spans="19:20" x14ac:dyDescent="0.35">
      <c r="S1379" s="12"/>
      <c r="T1379" s="12"/>
    </row>
    <row r="1380" spans="19:20" x14ac:dyDescent="0.35">
      <c r="S1380" s="12"/>
      <c r="T1380" s="12"/>
    </row>
    <row r="1381" spans="19:20" x14ac:dyDescent="0.35">
      <c r="S1381" s="12"/>
      <c r="T1381" s="12"/>
    </row>
    <row r="1382" spans="19:20" x14ac:dyDescent="0.35">
      <c r="S1382" s="12"/>
      <c r="T1382" s="12"/>
    </row>
    <row r="1383" spans="19:20" x14ac:dyDescent="0.35">
      <c r="S1383" s="12"/>
      <c r="T1383" s="12"/>
    </row>
    <row r="1384" spans="19:20" x14ac:dyDescent="0.35">
      <c r="S1384" s="12"/>
      <c r="T1384" s="12"/>
    </row>
    <row r="1385" spans="19:20" x14ac:dyDescent="0.35">
      <c r="S1385" s="12"/>
      <c r="T1385" s="12"/>
    </row>
    <row r="1386" spans="19:20" x14ac:dyDescent="0.35">
      <c r="S1386" s="12"/>
      <c r="T1386" s="12"/>
    </row>
    <row r="1387" spans="19:20" x14ac:dyDescent="0.35">
      <c r="S1387" s="12"/>
      <c r="T1387" s="12"/>
    </row>
    <row r="1388" spans="19:20" x14ac:dyDescent="0.35">
      <c r="S1388" s="12"/>
      <c r="T1388" s="12"/>
    </row>
    <row r="1389" spans="19:20" x14ac:dyDescent="0.35">
      <c r="S1389" s="12"/>
      <c r="T1389" s="12"/>
    </row>
    <row r="1390" spans="19:20" x14ac:dyDescent="0.35">
      <c r="S1390" s="12"/>
      <c r="T1390" s="12"/>
    </row>
    <row r="1391" spans="19:20" x14ac:dyDescent="0.35">
      <c r="S1391" s="12"/>
      <c r="T1391" s="12"/>
    </row>
    <row r="1392" spans="19:20" x14ac:dyDescent="0.35">
      <c r="S1392" s="12"/>
      <c r="T1392" s="12"/>
    </row>
    <row r="1393" spans="19:20" x14ac:dyDescent="0.35">
      <c r="S1393" s="12"/>
      <c r="T1393" s="12"/>
    </row>
    <row r="1394" spans="19:20" x14ac:dyDescent="0.35">
      <c r="S1394" s="12"/>
      <c r="T1394" s="12"/>
    </row>
    <row r="1395" spans="19:20" x14ac:dyDescent="0.35">
      <c r="S1395" s="12"/>
      <c r="T1395" s="12"/>
    </row>
    <row r="1396" spans="19:20" x14ac:dyDescent="0.35">
      <c r="S1396" s="12"/>
      <c r="T1396" s="12"/>
    </row>
    <row r="1397" spans="19:20" x14ac:dyDescent="0.35">
      <c r="S1397" s="12"/>
      <c r="T1397" s="12"/>
    </row>
    <row r="1398" spans="19:20" x14ac:dyDescent="0.35">
      <c r="S1398" s="12"/>
      <c r="T1398" s="12"/>
    </row>
    <row r="1399" spans="19:20" x14ac:dyDescent="0.35">
      <c r="S1399" s="12"/>
      <c r="T1399" s="12"/>
    </row>
    <row r="1400" spans="19:20" x14ac:dyDescent="0.35">
      <c r="S1400" s="12"/>
      <c r="T1400" s="12"/>
    </row>
    <row r="1401" spans="19:20" x14ac:dyDescent="0.35">
      <c r="S1401" s="12"/>
      <c r="T1401" s="12"/>
    </row>
    <row r="1402" spans="19:20" x14ac:dyDescent="0.35">
      <c r="S1402" s="12"/>
      <c r="T1402" s="12"/>
    </row>
    <row r="1403" spans="19:20" x14ac:dyDescent="0.35">
      <c r="S1403" s="12"/>
      <c r="T1403" s="12"/>
    </row>
    <row r="1404" spans="19:20" x14ac:dyDescent="0.35">
      <c r="S1404" s="12"/>
      <c r="T1404" s="12"/>
    </row>
    <row r="1405" spans="19:20" x14ac:dyDescent="0.35">
      <c r="S1405" s="12"/>
      <c r="T1405" s="12"/>
    </row>
    <row r="1406" spans="19:20" x14ac:dyDescent="0.35">
      <c r="S1406" s="12"/>
      <c r="T1406" s="12"/>
    </row>
    <row r="1407" spans="19:20" x14ac:dyDescent="0.35">
      <c r="S1407" s="12"/>
      <c r="T1407" s="12"/>
    </row>
    <row r="1408" spans="19:20" x14ac:dyDescent="0.35">
      <c r="S1408" s="12"/>
      <c r="T1408" s="12"/>
    </row>
    <row r="1409" spans="19:20" x14ac:dyDescent="0.35">
      <c r="S1409" s="12"/>
      <c r="T1409" s="12"/>
    </row>
    <row r="1410" spans="19:20" x14ac:dyDescent="0.35">
      <c r="S1410" s="12"/>
      <c r="T1410" s="12"/>
    </row>
    <row r="1411" spans="19:20" x14ac:dyDescent="0.35">
      <c r="S1411" s="12"/>
      <c r="T1411" s="12"/>
    </row>
    <row r="1412" spans="19:20" x14ac:dyDescent="0.35">
      <c r="S1412" s="12"/>
      <c r="T1412" s="12"/>
    </row>
    <row r="1413" spans="19:20" x14ac:dyDescent="0.35">
      <c r="S1413" s="12"/>
      <c r="T1413" s="12"/>
    </row>
    <row r="1414" spans="19:20" x14ac:dyDescent="0.35">
      <c r="S1414" s="12"/>
      <c r="T1414" s="12"/>
    </row>
    <row r="1415" spans="19:20" x14ac:dyDescent="0.35">
      <c r="S1415" s="12"/>
      <c r="T1415" s="12"/>
    </row>
    <row r="1416" spans="19:20" x14ac:dyDescent="0.35">
      <c r="S1416" s="12"/>
      <c r="T1416" s="12"/>
    </row>
    <row r="1417" spans="19:20" x14ac:dyDescent="0.35">
      <c r="S1417" s="12"/>
      <c r="T1417" s="12"/>
    </row>
    <row r="1418" spans="19:20" x14ac:dyDescent="0.35">
      <c r="S1418" s="12"/>
      <c r="T1418" s="12"/>
    </row>
    <row r="1419" spans="19:20" x14ac:dyDescent="0.35">
      <c r="S1419" s="12"/>
      <c r="T1419" s="12"/>
    </row>
    <row r="1420" spans="19:20" x14ac:dyDescent="0.35">
      <c r="S1420" s="12"/>
      <c r="T1420" s="12"/>
    </row>
    <row r="1421" spans="19:20" x14ac:dyDescent="0.35">
      <c r="S1421" s="12"/>
      <c r="T1421" s="12"/>
    </row>
    <row r="1422" spans="19:20" x14ac:dyDescent="0.35">
      <c r="S1422" s="12"/>
      <c r="T1422" s="12"/>
    </row>
    <row r="1423" spans="19:20" x14ac:dyDescent="0.35">
      <c r="S1423" s="12"/>
      <c r="T1423" s="12"/>
    </row>
    <row r="1424" spans="19:20" x14ac:dyDescent="0.35">
      <c r="S1424" s="12"/>
      <c r="T1424" s="12"/>
    </row>
    <row r="1425" spans="19:20" x14ac:dyDescent="0.35">
      <c r="S1425" s="12"/>
      <c r="T1425" s="12"/>
    </row>
    <row r="1426" spans="19:20" x14ac:dyDescent="0.35">
      <c r="S1426" s="12"/>
      <c r="T1426" s="12"/>
    </row>
    <row r="1427" spans="19:20" x14ac:dyDescent="0.35">
      <c r="S1427" s="12"/>
      <c r="T1427" s="12"/>
    </row>
    <row r="1428" spans="19:20" x14ac:dyDescent="0.35">
      <c r="S1428" s="12"/>
      <c r="T1428" s="12"/>
    </row>
    <row r="1429" spans="19:20" x14ac:dyDescent="0.35">
      <c r="S1429" s="12"/>
      <c r="T1429" s="12"/>
    </row>
    <row r="1430" spans="19:20" x14ac:dyDescent="0.35">
      <c r="S1430" s="12"/>
      <c r="T1430" s="12"/>
    </row>
    <row r="1431" spans="19:20" x14ac:dyDescent="0.35">
      <c r="S1431" s="12"/>
      <c r="T1431" s="12"/>
    </row>
    <row r="1432" spans="19:20" x14ac:dyDescent="0.35">
      <c r="S1432" s="12"/>
      <c r="T1432" s="12"/>
    </row>
    <row r="1433" spans="19:20" x14ac:dyDescent="0.35">
      <c r="S1433" s="12"/>
      <c r="T1433" s="12"/>
    </row>
    <row r="1434" spans="19:20" x14ac:dyDescent="0.35">
      <c r="S1434" s="12"/>
      <c r="T1434" s="12"/>
    </row>
    <row r="1435" spans="19:20" x14ac:dyDescent="0.35">
      <c r="S1435" s="12"/>
      <c r="T1435" s="12"/>
    </row>
    <row r="1436" spans="19:20" x14ac:dyDescent="0.35">
      <c r="S1436" s="12"/>
      <c r="T1436" s="12"/>
    </row>
    <row r="1437" spans="19:20" x14ac:dyDescent="0.35">
      <c r="S1437" s="12"/>
      <c r="T1437" s="12"/>
    </row>
    <row r="1438" spans="19:20" x14ac:dyDescent="0.35">
      <c r="S1438" s="12"/>
      <c r="T1438" s="12"/>
    </row>
    <row r="1439" spans="19:20" x14ac:dyDescent="0.35">
      <c r="S1439" s="12"/>
      <c r="T1439" s="12"/>
    </row>
    <row r="1440" spans="19:20" x14ac:dyDescent="0.35">
      <c r="S1440" s="12"/>
      <c r="T1440" s="12"/>
    </row>
    <row r="1441" spans="19:20" x14ac:dyDescent="0.35">
      <c r="S1441" s="12"/>
      <c r="T1441" s="12"/>
    </row>
    <row r="1442" spans="19:20" x14ac:dyDescent="0.35">
      <c r="S1442" s="12"/>
      <c r="T1442" s="12"/>
    </row>
    <row r="1443" spans="19:20" x14ac:dyDescent="0.35">
      <c r="S1443" s="12"/>
      <c r="T1443" s="12"/>
    </row>
    <row r="1444" spans="19:20" x14ac:dyDescent="0.35">
      <c r="S1444" s="12"/>
      <c r="T1444" s="12"/>
    </row>
    <row r="1445" spans="19:20" x14ac:dyDescent="0.35">
      <c r="S1445" s="12"/>
      <c r="T1445" s="12"/>
    </row>
    <row r="1446" spans="19:20" x14ac:dyDescent="0.35">
      <c r="S1446" s="12"/>
      <c r="T1446" s="12"/>
    </row>
    <row r="1447" spans="19:20" x14ac:dyDescent="0.35">
      <c r="S1447" s="12"/>
      <c r="T1447" s="12"/>
    </row>
    <row r="1448" spans="19:20" x14ac:dyDescent="0.35">
      <c r="S1448" s="12"/>
      <c r="T1448" s="12"/>
    </row>
    <row r="1449" spans="19:20" x14ac:dyDescent="0.35">
      <c r="S1449" s="12"/>
      <c r="T1449" s="12"/>
    </row>
    <row r="1450" spans="19:20" x14ac:dyDescent="0.35">
      <c r="S1450" s="12"/>
      <c r="T1450" s="12"/>
    </row>
    <row r="1451" spans="19:20" x14ac:dyDescent="0.35">
      <c r="S1451" s="12"/>
      <c r="T1451" s="12"/>
    </row>
    <row r="1452" spans="19:20" x14ac:dyDescent="0.35">
      <c r="S1452" s="12"/>
      <c r="T1452" s="12"/>
    </row>
    <row r="1453" spans="19:20" x14ac:dyDescent="0.35">
      <c r="S1453" s="12"/>
      <c r="T1453" s="12"/>
    </row>
    <row r="1454" spans="19:20" x14ac:dyDescent="0.35">
      <c r="S1454" s="12"/>
      <c r="T1454" s="12"/>
    </row>
    <row r="1455" spans="19:20" x14ac:dyDescent="0.35">
      <c r="S1455" s="12"/>
      <c r="T1455" s="12"/>
    </row>
    <row r="1456" spans="19:20" x14ac:dyDescent="0.35">
      <c r="S1456" s="12"/>
      <c r="T1456" s="12"/>
    </row>
    <row r="1457" spans="19:20" x14ac:dyDescent="0.35">
      <c r="S1457" s="12"/>
      <c r="T1457" s="12"/>
    </row>
    <row r="1458" spans="19:20" x14ac:dyDescent="0.35">
      <c r="S1458" s="12"/>
      <c r="T1458" s="12"/>
    </row>
  </sheetData>
  <autoFilter ref="A8:U186" xr:uid="{E9AE3067-3B94-4AFC-AA1A-24A4984C120D}"/>
  <mergeCells count="6">
    <mergeCell ref="P1:S1"/>
    <mergeCell ref="K5:N5"/>
    <mergeCell ref="K2:N2"/>
    <mergeCell ref="O2:O3"/>
    <mergeCell ref="O5:O7"/>
    <mergeCell ref="K1:O1"/>
  </mergeCells>
  <conditionalFormatting sqref="C1:C1048576">
    <cfRule type="duplicateValues" dxfId="4" priority="189"/>
  </conditionalFormatting>
  <conditionalFormatting sqref="D187:H190 D232:H233 E234:H1048576 D191:G194 G201:H231 G195:G200 C1:C1048576">
    <cfRule type="duplicateValues" dxfId="3" priority="6"/>
  </conditionalFormatting>
  <conditionalFormatting sqref="G197:G231">
    <cfRule type="cellIs" dxfId="2" priority="4" operator="lessThan">
      <formula>0</formula>
    </cfRule>
  </conditionalFormatting>
  <conditionalFormatting sqref="L9:L186">
    <cfRule type="cellIs" dxfId="1" priority="2" operator="equal">
      <formula>1</formula>
    </cfRule>
  </conditionalFormatting>
  <conditionalFormatting sqref="P1459:P1048576">
    <cfRule type="duplicateValues" dxfId="0" priority="3"/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54AB-8D85-460E-8760-4CF7781EB84C}">
  <dimension ref="L5:L40"/>
  <sheetViews>
    <sheetView topLeftCell="A3" zoomScale="145" zoomScaleNormal="145" workbookViewId="0">
      <selection activeCell="L7" sqref="L7"/>
    </sheetView>
  </sheetViews>
  <sheetFormatPr defaultRowHeight="14.5" x14ac:dyDescent="0.35"/>
  <sheetData>
    <row r="5" spans="12:12" ht="16" x14ac:dyDescent="0.35">
      <c r="L5" s="158" t="s">
        <v>527</v>
      </c>
    </row>
    <row r="6" spans="12:12" ht="16" x14ac:dyDescent="0.35">
      <c r="L6" s="158"/>
    </row>
    <row r="7" spans="12:12" ht="16" x14ac:dyDescent="0.35">
      <c r="L7" s="158" t="s">
        <v>556</v>
      </c>
    </row>
    <row r="8" spans="12:12" ht="16" x14ac:dyDescent="0.35">
      <c r="L8" s="158" t="s">
        <v>557</v>
      </c>
    </row>
    <row r="9" spans="12:12" ht="16" x14ac:dyDescent="0.35">
      <c r="L9" s="158" t="s">
        <v>558</v>
      </c>
    </row>
    <row r="10" spans="12:12" ht="16" x14ac:dyDescent="0.35">
      <c r="L10" s="158" t="s">
        <v>559</v>
      </c>
    </row>
    <row r="11" spans="12:12" ht="16" x14ac:dyDescent="0.35">
      <c r="L11" s="158" t="s">
        <v>528</v>
      </c>
    </row>
    <row r="12" spans="12:12" ht="16" x14ac:dyDescent="0.35">
      <c r="L12" s="158" t="s">
        <v>529</v>
      </c>
    </row>
    <row r="13" spans="12:12" ht="16" x14ac:dyDescent="0.35">
      <c r="L13" s="158" t="s">
        <v>530</v>
      </c>
    </row>
    <row r="14" spans="12:12" ht="16" x14ac:dyDescent="0.35">
      <c r="L14" s="158" t="s">
        <v>531</v>
      </c>
    </row>
    <row r="15" spans="12:12" ht="16" x14ac:dyDescent="0.35">
      <c r="L15" s="158" t="s">
        <v>532</v>
      </c>
    </row>
    <row r="16" spans="12:12" ht="16" x14ac:dyDescent="0.35">
      <c r="L16" s="158" t="s">
        <v>533</v>
      </c>
    </row>
    <row r="17" spans="12:12" ht="16" x14ac:dyDescent="0.35">
      <c r="L17" s="158" t="s">
        <v>534</v>
      </c>
    </row>
    <row r="18" spans="12:12" ht="16" x14ac:dyDescent="0.35">
      <c r="L18" s="158" t="s">
        <v>535</v>
      </c>
    </row>
    <row r="19" spans="12:12" ht="16" x14ac:dyDescent="0.35">
      <c r="L19" s="158" t="s">
        <v>536</v>
      </c>
    </row>
    <row r="20" spans="12:12" ht="16" x14ac:dyDescent="0.35">
      <c r="L20" s="158" t="s">
        <v>537</v>
      </c>
    </row>
    <row r="21" spans="12:12" ht="16" x14ac:dyDescent="0.35">
      <c r="L21" s="158"/>
    </row>
    <row r="22" spans="12:12" ht="16" x14ac:dyDescent="0.35">
      <c r="L22" s="158" t="s">
        <v>538</v>
      </c>
    </row>
    <row r="23" spans="12:12" ht="16" x14ac:dyDescent="0.35">
      <c r="L23" s="159"/>
    </row>
    <row r="24" spans="12:12" ht="16" x14ac:dyDescent="0.35">
      <c r="L24" s="158" t="s">
        <v>539</v>
      </c>
    </row>
    <row r="25" spans="12:12" ht="16" x14ac:dyDescent="0.35">
      <c r="L25" s="158" t="s">
        <v>540</v>
      </c>
    </row>
    <row r="26" spans="12:12" ht="16" x14ac:dyDescent="0.35">
      <c r="L26" s="158" t="s">
        <v>541</v>
      </c>
    </row>
    <row r="27" spans="12:12" ht="16" x14ac:dyDescent="0.35">
      <c r="L27" s="158" t="s">
        <v>542</v>
      </c>
    </row>
    <row r="28" spans="12:12" ht="16" x14ac:dyDescent="0.35">
      <c r="L28" s="158" t="s">
        <v>543</v>
      </c>
    </row>
    <row r="29" spans="12:12" ht="16" x14ac:dyDescent="0.35">
      <c r="L29" s="158" t="s">
        <v>544</v>
      </c>
    </row>
    <row r="30" spans="12:12" ht="16" x14ac:dyDescent="0.35">
      <c r="L30" s="158" t="s">
        <v>545</v>
      </c>
    </row>
    <row r="31" spans="12:12" ht="16" x14ac:dyDescent="0.35">
      <c r="L31" s="158" t="s">
        <v>546</v>
      </c>
    </row>
    <row r="32" spans="12:12" ht="16" x14ac:dyDescent="0.35">
      <c r="L32" s="158" t="s">
        <v>547</v>
      </c>
    </row>
    <row r="33" spans="12:12" ht="16" x14ac:dyDescent="0.35">
      <c r="L33" s="158" t="s">
        <v>548</v>
      </c>
    </row>
    <row r="34" spans="12:12" ht="16" x14ac:dyDescent="0.35">
      <c r="L34" s="158" t="s">
        <v>549</v>
      </c>
    </row>
    <row r="35" spans="12:12" ht="16" x14ac:dyDescent="0.35">
      <c r="L35" s="158" t="s">
        <v>550</v>
      </c>
    </row>
    <row r="36" spans="12:12" ht="16" x14ac:dyDescent="0.35">
      <c r="L36" s="158" t="s">
        <v>551</v>
      </c>
    </row>
    <row r="37" spans="12:12" ht="16" x14ac:dyDescent="0.35">
      <c r="L37" s="158" t="s">
        <v>552</v>
      </c>
    </row>
    <row r="38" spans="12:12" ht="16" x14ac:dyDescent="0.35">
      <c r="L38" s="158" t="s">
        <v>553</v>
      </c>
    </row>
    <row r="39" spans="12:12" ht="16" x14ac:dyDescent="0.35">
      <c r="L39" s="158" t="s">
        <v>554</v>
      </c>
    </row>
    <row r="40" spans="12:12" ht="16" x14ac:dyDescent="0.35">
      <c r="L40" s="158" t="s">
        <v>555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Cronograma</vt:lpstr>
      <vt:lpstr>Histograma</vt:lpstr>
      <vt:lpstr>Analise de Lote</vt:lpstr>
      <vt:lpstr>SEQ. DE ENTREGA POR LINHA</vt:lpstr>
      <vt:lpstr>Crono Furui</vt:lpstr>
      <vt:lpstr>Analise Cronograma TUB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Romulo Silva</dc:creator>
  <cp:lastModifiedBy>Renan Santos</cp:lastModifiedBy>
  <dcterms:created xsi:type="dcterms:W3CDTF">2026-07-22T13:21:11Z</dcterms:created>
  <dcterms:modified xsi:type="dcterms:W3CDTF">2026-09-30T14:17:48Z</dcterms:modified>
</cp:coreProperties>
</file>